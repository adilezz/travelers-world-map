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Places (pilot)" sheetId="2" state="visible" r:id="rId4"/>
    <sheet name="Selection evidence" sheetId="3" state="visible" r:id="rId5"/>
    <sheet name="Countries" sheetId="4" state="visible" r:id="rId6"/>
    <sheet name="Model parameters" sheetId="5" state="visible" r:id="rId7"/>
    <sheet name="To build for real" sheetId="6" state="visible" r:id="rId8"/>
  </sheets>
  <definedNames>
    <definedName function="false" hidden="false" localSheetId="3" name="_xlnm.Print_Titles" vbProcedure="false">Countries!$1:$1</definedName>
    <definedName function="false" hidden="true" localSheetId="3" name="_xlnm._FilterDatabase" vbProcedure="false">Countries!$A$1:$I$253</definedName>
    <definedName function="false" hidden="false" localSheetId="4" name="_xlnm.Print_Titles" vbProcedure="false">'Model parameters'!$1:$1</definedName>
    <definedName function="false" hidden="true" localSheetId="4" name="_xlnm._FilterDatabase" vbProcedure="false">'Model parameters'!$A$1:$C$31</definedName>
    <definedName function="false" hidden="false" localSheetId="1" name="_xlnm.Print_Titles" vbProcedure="false">'Places (pilot)'!$1:$1</definedName>
    <definedName function="false" hidden="true" localSheetId="1" name="_xlnm._FilterDatabase" vbProcedure="false">'Places (pilot)'!$A$1:$O$157</definedName>
    <definedName function="false" hidden="false" localSheetId="2" name="_xlnm.Print_Titles" vbProcedure="false">'Selection evidence'!$1:$1</definedName>
    <definedName function="false" hidden="true" localSheetId="2" name="_xlnm._FilterDatabase" vbProcedure="false">'Selection evidence'!$A$1:$H$11</definedName>
    <definedName function="false" hidden="false" localSheetId="0" name="_xlnm.Print_Titles" vbProcedure="false">'Start here'!$1:$1</definedName>
    <definedName function="false" hidden="false" localSheetId="5" name="_xlnm.Print_Titles" vbProcedure="false">'To build for real'!$1:$1</definedName>
    <definedName function="false" hidden="true" localSheetId="5" name="_xlnm._FilterDatabase" vbProcedure="false">'To build for real'!$A$1:$E$8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<sst xmlns="http://schemas.openxmlformats.org/spreadsheetml/2006/main" count="2085" uniqueCount="1421">
  <si>
    <t xml:space="preserve">TRAVELERS WORLD MAP — DATABASE BUILD</t>
  </si>
  <si>
    <t xml:space="preserve">What ran, what it produced, and what is still needed</t>
  </si>
  <si>
    <t xml:space="preserve">STATUS</t>
  </si>
  <si>
    <t xml:space="preserve">Code</t>
  </si>
  <si>
    <t xml:space="preserve">All 31 tests pass. Linter clean. The pipeline runs end to end.</t>
  </si>
  <si>
    <t xml:space="preserve">Full world database</t>
  </si>
  <si>
    <t xml:space="preserve">NOT BUILT — the data sources are unreachable from the build environment.</t>
  </si>
  <si>
    <t xml:space="preserve">Reason</t>
  </si>
  <si>
    <t xml:space="preserve">Only the Python package registry is reachable. UNESCO, Wikidata, OpenStreetMap, Protected Planet and the Foursquare bucket all return 403. This is an environment restriction, not a fault in the pipeline.</t>
  </si>
  <si>
    <t xml:space="preserve">WHAT THIS WORKBOOK CONTAINS</t>
  </si>
  <si>
    <t xml:space="preserve">Places (pilot)</t>
  </si>
  <si>
    <t xml:space="preserve">Selection evidence</t>
  </si>
  <si>
    <t xml:space="preserve">Coverage selection against a ranking baseline, same spacing constraint. This is the model's central claim, measured.</t>
  </si>
  <si>
    <t xml:space="preserve">World settlements</t>
  </si>
  <si>
    <t xml:space="preserve">Countries</t>
  </si>
  <si>
    <t xml:space="preserve">Model parameters</t>
  </si>
  <si>
    <t xml:space="preserve">Every frozen parameter, for confirmation before the real build.</t>
  </si>
  <si>
    <t xml:space="preserve">To build for real</t>
  </si>
  <si>
    <t xml:space="preserve">The six downloads and three commands that produce the world database.</t>
  </si>
  <si>
    <t xml:space="preserve">THE ONE THING TO UNDERSTAND</t>
  </si>
  <si>
    <t xml:space="preserve">Candidates are not places</t>
  </si>
  <si>
    <t xml:space="preserve">The settlement layer is the pipeline's INPUT. A settlement becomes a place only when assets attach to it — a World Heritage inscription, a protected area, a living tradition, a landform. Run over 33,980 real settlements with no assets, the pipeline correctly produced ZERO places: every pillar was zero, so nothing cleared the score floor.</t>
  </si>
  <si>
    <t xml:space="preserve">So what is proven</t>
  </si>
  <si>
    <t xml:space="preserve">The machinery, at full scale: 33,980 candidates through catchment assignment, absorption, archetype derivation, scoring and quota allocation in 1.95 seconds. What is NOT proven is any score, because scoring needs the asset layer.</t>
  </si>
  <si>
    <t xml:space="preserve">WHAT TO CONFIRM</t>
  </si>
  <si>
    <t xml:space="preserve">1. The pilot output</t>
  </si>
  <si>
    <t xml:space="preserve">Read 'Places (pilot)'. Do the places, their kinds, and which ones reach the printed map match what you know about those five countries?</t>
  </si>
  <si>
    <t xml:space="preserve">2. The parameters</t>
  </si>
  <si>
    <t xml:space="preserve">Read 'Model parameters'. These are frozen and interact — they were tuned together and retuning one alone makes results worse.</t>
  </si>
  <si>
    <t xml:space="preserve">3. The plan</t>
  </si>
  <si>
    <t xml:space="preserve">Read 'To build for real'. Three of the six sources need a manual download; the rest are scripted.</t>
  </si>
  <si>
    <t xml:space="preserve">country</t>
  </si>
  <si>
    <t xml:space="preserve">place</t>
  </si>
  <si>
    <t xml:space="preserve">kind</t>
  </si>
  <si>
    <t xml:space="preserve">lat</t>
  </si>
  <si>
    <t xml:space="preserve">lon</t>
  </si>
  <si>
    <t xml:space="preserve">score</t>
  </si>
  <si>
    <t xml:space="preserve">heritage</t>
  </si>
  <si>
    <t xml:space="preserve">nature</t>
  </si>
  <si>
    <t xml:space="preserve">living</t>
  </si>
  <si>
    <t xml:space="preserve">feasibility</t>
  </si>
  <si>
    <t xml:space="preserve">kinds of place</t>
  </si>
  <si>
    <t xml:space="preserve">on printed map</t>
  </si>
  <si>
    <t xml:space="preserve">printed rank</t>
  </si>
  <si>
    <t xml:space="preserve">world heritage</t>
  </si>
  <si>
    <t xml:space="preserve">merged from</t>
  </si>
  <si>
    <t xml:space="preserve">Morocco</t>
  </si>
  <si>
    <t xml:space="preserve">Fes</t>
  </si>
  <si>
    <t xml:space="preserve">settlement</t>
  </si>
  <si>
    <t xml:space="preserve">Living old town / medina / Sacred &amp; pilgrimage / Modern metropolis &amp; industry</t>
  </si>
  <si>
    <t xml:space="preserve">Marrakech</t>
  </si>
  <si>
    <t xml:space="preserve">Living old town / medina</t>
  </si>
  <si>
    <t xml:space="preserve">Agadir (+Souss-Massa National Park)</t>
  </si>
  <si>
    <t xml:space="preserve">Coastal &amp; maritime / Wildlife &amp; wilderness / Lake &amp; river</t>
  </si>
  <si>
    <t xml:space="preserve">fx-034</t>
  </si>
  <si>
    <t xml:space="preserve">Meknes (+Volubilis)</t>
  </si>
  <si>
    <t xml:space="preserve">Living old town / medina / Sacred &amp; pilgrimage</t>
  </si>
  <si>
    <t xml:space="preserve">fx-005</t>
  </si>
  <si>
    <t xml:space="preserve">Toubkal (Imlil)</t>
  </si>
  <si>
    <t xml:space="preserve">site</t>
  </si>
  <si>
    <t xml:space="preserve">High mountain / Wildlife &amp; wilderness</t>
  </si>
  <si>
    <t xml:space="preserve">Essaouira</t>
  </si>
  <si>
    <t xml:space="preserve">Living old town / medina / Coastal &amp; maritime</t>
  </si>
  <si>
    <t xml:space="preserve">Azrou</t>
  </si>
  <si>
    <t xml:space="preserve">High mountain / Forest &amp; jungle / Wildlife &amp; wilderness</t>
  </si>
  <si>
    <t xml:space="preserve">Rabat</t>
  </si>
  <si>
    <t xml:space="preserve">Coastal &amp; maritime</t>
  </si>
  <si>
    <t xml:space="preserve">Tinghir (Todra Gorge)</t>
  </si>
  <si>
    <t xml:space="preserve">Desert &amp; steppe / High mountain</t>
  </si>
  <si>
    <t xml:space="preserve">Tetouan</t>
  </si>
  <si>
    <t xml:space="preserve">Living old town / medina / Coastal &amp; maritime / High mountain</t>
  </si>
  <si>
    <t xml:space="preserve">Ifrane</t>
  </si>
  <si>
    <t xml:space="preserve">Ouarzazate (+Ait Benhaddou)</t>
  </si>
  <si>
    <t xml:space="preserve">Desert &amp; steppe / Living old town / medina</t>
  </si>
  <si>
    <t xml:space="preserve">fx-012</t>
  </si>
  <si>
    <t xml:space="preserve">Tangier</t>
  </si>
  <si>
    <t xml:space="preserve">Moulay Bousselham (Merja Zerga)</t>
  </si>
  <si>
    <t xml:space="preserve">Coastal &amp; maritime / Lake &amp; river / Wildlife &amp; wilderness</t>
  </si>
  <si>
    <t xml:space="preserve">Al Hoceima</t>
  </si>
  <si>
    <t xml:space="preserve">Coastal &amp; maritime / High mountain / Wildlife &amp; wilderness</t>
  </si>
  <si>
    <t xml:space="preserve">Taroudant</t>
  </si>
  <si>
    <t xml:space="preserve">Casablanca</t>
  </si>
  <si>
    <t xml:space="preserve">Coastal &amp; maritime / Modern metropolis &amp; industry</t>
  </si>
  <si>
    <t xml:space="preserve">Merzouga (Erg Chebbi)</t>
  </si>
  <si>
    <t xml:space="preserve">Desert &amp; steppe</t>
  </si>
  <si>
    <t xml:space="preserve">Ouzoud Falls</t>
  </si>
  <si>
    <t xml:space="preserve">Forest &amp; jungle / Lake &amp; river</t>
  </si>
  <si>
    <t xml:space="preserve">Tafraout</t>
  </si>
  <si>
    <t xml:space="preserve">Chefchaouen</t>
  </si>
  <si>
    <t xml:space="preserve">High mountain / Forest &amp; jungle / Living old town / medina</t>
  </si>
  <si>
    <t xml:space="preserve">Safi</t>
  </si>
  <si>
    <t xml:space="preserve">Dakhla</t>
  </si>
  <si>
    <t xml:space="preserve">Desert &amp; steppe / Coastal &amp; maritime</t>
  </si>
  <si>
    <t xml:space="preserve">Zagora (Draa Valley)</t>
  </si>
  <si>
    <t xml:space="preserve">El Jadida</t>
  </si>
  <si>
    <t xml:space="preserve">Tan-Tan</t>
  </si>
  <si>
    <t xml:space="preserve">Oujda</t>
  </si>
  <si>
    <t xml:space="preserve">Sale</t>
  </si>
  <si>
    <t xml:space="preserve">Beni Mellal</t>
  </si>
  <si>
    <t xml:space="preserve">High mountain</t>
  </si>
  <si>
    <t xml:space="preserve">Laayoune</t>
  </si>
  <si>
    <t xml:space="preserve">Asilah</t>
  </si>
  <si>
    <t xml:space="preserve">Coastal &amp; maritime / Living old town / medina</t>
  </si>
  <si>
    <t xml:space="preserve">Sidi Ifni</t>
  </si>
  <si>
    <t xml:space="preserve">Iceland</t>
  </si>
  <si>
    <t xml:space="preserve">Reykjavik</t>
  </si>
  <si>
    <t xml:space="preserve">Heimaey (Vestmannaeyjar) (+Surtsey)</t>
  </si>
  <si>
    <t xml:space="preserve">Volcanic &amp; geothermal / Coastal &amp; maritime / Wildlife &amp; wilderness</t>
  </si>
  <si>
    <t xml:space="preserve">fx-041</t>
  </si>
  <si>
    <t xml:space="preserve">Vatnajokull (Skaftafell)</t>
  </si>
  <si>
    <t xml:space="preserve">Volcanic &amp; geothermal / High mountain / Lake &amp; river</t>
  </si>
  <si>
    <t xml:space="preserve">Akureyri</t>
  </si>
  <si>
    <t xml:space="preserve">High mountain / Coastal &amp; maritime</t>
  </si>
  <si>
    <t xml:space="preserve">Isafjordur (Westfjords) (+Hornstrandir)</t>
  </si>
  <si>
    <t xml:space="preserve">fx-054</t>
  </si>
  <si>
    <t xml:space="preserve">Thingvellir</t>
  </si>
  <si>
    <t xml:space="preserve">Volcanic &amp; geothermal / Lake &amp; river / Wildlife &amp; wilderness</t>
  </si>
  <si>
    <t xml:space="preserve">Hofn (+Jokulsarlon)</t>
  </si>
  <si>
    <t xml:space="preserve">Coastal &amp; maritime / Lake &amp; river / High mountain</t>
  </si>
  <si>
    <t xml:space="preserve">fx-040</t>
  </si>
  <si>
    <t xml:space="preserve">Snaefellsnes</t>
  </si>
  <si>
    <t xml:space="preserve">Volcanic &amp; geothermal / High mountain / Coastal &amp; maritime</t>
  </si>
  <si>
    <t xml:space="preserve">Myvatn</t>
  </si>
  <si>
    <t xml:space="preserve">Husavik</t>
  </si>
  <si>
    <t xml:space="preserve">Coastal &amp; maritime / High mountain</t>
  </si>
  <si>
    <t xml:space="preserve">Vik (Reynisfjara)</t>
  </si>
  <si>
    <t xml:space="preserve">Volcanic &amp; geothermal / Coastal &amp; maritime / High mountain</t>
  </si>
  <si>
    <t xml:space="preserve">Grindavik (Blue Lagoon)</t>
  </si>
  <si>
    <t xml:space="preserve">Volcanic &amp; geothermal / Coastal &amp; maritime</t>
  </si>
  <si>
    <t xml:space="preserve">Geysir</t>
  </si>
  <si>
    <t xml:space="preserve">Volcanic &amp; geothermal</t>
  </si>
  <si>
    <t xml:space="preserve">Gullfoss</t>
  </si>
  <si>
    <t xml:space="preserve">Lake &amp; river / High mountain / Desert &amp; steppe</t>
  </si>
  <si>
    <t xml:space="preserve">Landmannalaugar</t>
  </si>
  <si>
    <t xml:space="preserve">Volcanic &amp; geothermal / High mountain / Wildlife &amp; wilderness</t>
  </si>
  <si>
    <t xml:space="preserve">Dettifoss</t>
  </si>
  <si>
    <t xml:space="preserve">Lake &amp; river / Wildlife &amp; wilderness / High mountain</t>
  </si>
  <si>
    <t xml:space="preserve">Latrabjarg</t>
  </si>
  <si>
    <t xml:space="preserve">Nepal</t>
  </si>
  <si>
    <t xml:space="preserve">Kathmandu</t>
  </si>
  <si>
    <t xml:space="preserve">Living old town / medina / High mountain / Sacred &amp; pilgrimage</t>
  </si>
  <si>
    <t xml:space="preserve">Pokhara (+Annapurna (Ghandruk))</t>
  </si>
  <si>
    <t xml:space="preserve">High mountain / Lake &amp; river / Forest &amp; jungle</t>
  </si>
  <si>
    <t xml:space="preserve">fx-062</t>
  </si>
  <si>
    <t xml:space="preserve">Janakpur</t>
  </si>
  <si>
    <t xml:space="preserve">Sacred &amp; pilgrimage / Living old town / medina / Lake &amp; river</t>
  </si>
  <si>
    <t xml:space="preserve">Bhaktapur</t>
  </si>
  <si>
    <t xml:space="preserve">Chitwan National Park</t>
  </si>
  <si>
    <t xml:space="preserve">Forest &amp; jungle / Wildlife &amp; wilderness / Lake &amp; river</t>
  </si>
  <si>
    <t xml:space="preserve">Everest (Sagarmatha NP)</t>
  </si>
  <si>
    <t xml:space="preserve">High mountain / Sacred &amp; pilgrimage / Wildlife &amp; wilderness</t>
  </si>
  <si>
    <t xml:space="preserve">Patan (Lalitpur)</t>
  </si>
  <si>
    <t xml:space="preserve">Nagarkot (+Langtang)</t>
  </si>
  <si>
    <t xml:space="preserve">fx-075</t>
  </si>
  <si>
    <t xml:space="preserve">Upper Mustang (Lo Manthang) (+Muktinath)</t>
  </si>
  <si>
    <t xml:space="preserve">High mountain / Desert &amp; steppe / Sacred &amp; pilgrimage</t>
  </si>
  <si>
    <t xml:space="preserve">fx-070</t>
  </si>
  <si>
    <t xml:space="preserve">Lumbini</t>
  </si>
  <si>
    <t xml:space="preserve">Living old town / medina / Sacred &amp; pilgrimage / Lake &amp; river</t>
  </si>
  <si>
    <t xml:space="preserve">Gorkha</t>
  </si>
  <si>
    <t xml:space="preserve">High mountain / Living old town / medina</t>
  </si>
  <si>
    <t xml:space="preserve">Bardia National Park</t>
  </si>
  <si>
    <t xml:space="preserve">Forest &amp; jungle / Wildlife &amp; wilderness / Desert &amp; steppe</t>
  </si>
  <si>
    <t xml:space="preserve">Bandipur</t>
  </si>
  <si>
    <t xml:space="preserve">Ilam</t>
  </si>
  <si>
    <t xml:space="preserve">High mountain / Forest &amp; jungle</t>
  </si>
  <si>
    <t xml:space="preserve">Tansen</t>
  </si>
  <si>
    <t xml:space="preserve">Phoksundo (Dolpo)</t>
  </si>
  <si>
    <t xml:space="preserve">High mountain / Lake &amp; river / Wildlife &amp; wilderness</t>
  </si>
  <si>
    <t xml:space="preserve">Biratnagar</t>
  </si>
  <si>
    <t xml:space="preserve">Lake &amp; river / Wildlife &amp; wilderness</t>
  </si>
  <si>
    <t xml:space="preserve">Rara Lake</t>
  </si>
  <si>
    <t xml:space="preserve">France</t>
  </si>
  <si>
    <t xml:space="preserve">Paris</t>
  </si>
  <si>
    <t xml:space="preserve">Living old town / medina / Modern metropolis &amp; industry</t>
  </si>
  <si>
    <t xml:space="preserve">Lyon</t>
  </si>
  <si>
    <t xml:space="preserve">Chaine des Puys</t>
  </si>
  <si>
    <t xml:space="preserve">Volcanic &amp; geothermal / High mountain / Forest &amp; jungle</t>
  </si>
  <si>
    <t xml:space="preserve">Bordeaux</t>
  </si>
  <si>
    <t xml:space="preserve">Camargue</t>
  </si>
  <si>
    <t xml:space="preserve">Marseille</t>
  </si>
  <si>
    <t xml:space="preserve">Coastal &amp; maritime / High mountain / Modern metropolis &amp; industry</t>
  </si>
  <si>
    <t xml:space="preserve">Strasbourg</t>
  </si>
  <si>
    <t xml:space="preserve">Verdon Gorge</t>
  </si>
  <si>
    <t xml:space="preserve">Toulouse</t>
  </si>
  <si>
    <t xml:space="preserve">Modern metropolis &amp; industry</t>
  </si>
  <si>
    <t xml:space="preserve">Reims</t>
  </si>
  <si>
    <t xml:space="preserve">Chamonix (Mont Blanc)</t>
  </si>
  <si>
    <t xml:space="preserve">Dijon</t>
  </si>
  <si>
    <t xml:space="preserve">Brest (Finistere)</t>
  </si>
  <si>
    <t xml:space="preserve">Coastal &amp; maritime / Wildlife &amp; wilderness</t>
  </si>
  <si>
    <t xml:space="preserve">Arles</t>
  </si>
  <si>
    <t xml:space="preserve">Living old town / medina / Lake &amp; river / Wildlife &amp; wilderness</t>
  </si>
  <si>
    <t xml:space="preserve">Nimes (+Pont du Gard)</t>
  </si>
  <si>
    <t xml:space="preserve">fx-087</t>
  </si>
  <si>
    <t xml:space="preserve">Mont-Saint-Michel</t>
  </si>
  <si>
    <t xml:space="preserve">Living old town / medina / Coastal &amp; maritime / Lake &amp; river</t>
  </si>
  <si>
    <t xml:space="preserve">Nice</t>
  </si>
  <si>
    <t xml:space="preserve">Bonifacio (Corsica)</t>
  </si>
  <si>
    <t xml:space="preserve">Coastal &amp; maritime / High mountain / Living old town / medina</t>
  </si>
  <si>
    <t xml:space="preserve">Lourdes</t>
  </si>
  <si>
    <t xml:space="preserve">High mountain / Sacred &amp; pilgrimage / Living old town / medina</t>
  </si>
  <si>
    <t xml:space="preserve">Bayonne (Basque)</t>
  </si>
  <si>
    <t xml:space="preserve">Loire Valley (Amboise)</t>
  </si>
  <si>
    <t xml:space="preserve">Living old town / medina / Forest &amp; jungle</t>
  </si>
  <si>
    <t xml:space="preserve">Avignon</t>
  </si>
  <si>
    <t xml:space="preserve">Rouen</t>
  </si>
  <si>
    <t xml:space="preserve">Beaune</t>
  </si>
  <si>
    <t xml:space="preserve">Vezere Valley (Lascaux)</t>
  </si>
  <si>
    <t xml:space="preserve">Amiens</t>
  </si>
  <si>
    <t xml:space="preserve">Nancy</t>
  </si>
  <si>
    <t xml:space="preserve">Saint-Malo</t>
  </si>
  <si>
    <t xml:space="preserve">Versailles</t>
  </si>
  <si>
    <t xml:space="preserve">Annecy</t>
  </si>
  <si>
    <t xml:space="preserve">High mountain / Lake &amp; river / Living old town / medina</t>
  </si>
  <si>
    <t xml:space="preserve">Colmar</t>
  </si>
  <si>
    <t xml:space="preserve">Chartres</t>
  </si>
  <si>
    <t xml:space="preserve">Albi</t>
  </si>
  <si>
    <t xml:space="preserve">Rocamadour</t>
  </si>
  <si>
    <t xml:space="preserve">Sacred &amp; pilgrimage / Living old town / medina / High mountain</t>
  </si>
  <si>
    <t xml:space="preserve">Carnac</t>
  </si>
  <si>
    <t xml:space="preserve">Carcassonne</t>
  </si>
  <si>
    <t xml:space="preserve">Le Havre</t>
  </si>
  <si>
    <t xml:space="preserve">Saint-Emilion</t>
  </si>
  <si>
    <t xml:space="preserve">Biarritz</t>
  </si>
  <si>
    <t xml:space="preserve">Riquewihr (Route du Vin)</t>
  </si>
  <si>
    <t xml:space="preserve">Etretat</t>
  </si>
  <si>
    <t xml:space="preserve">United States</t>
  </si>
  <si>
    <t xml:space="preserve">New York</t>
  </si>
  <si>
    <t xml:space="preserve">Modern metropolis &amp; industry / Coastal &amp; maritime</t>
  </si>
  <si>
    <t xml:space="preserve">Washington DC</t>
  </si>
  <si>
    <t xml:space="preserve">Modern metropolis &amp; industry / Living old town / medina</t>
  </si>
  <si>
    <t xml:space="preserve">Chicago</t>
  </si>
  <si>
    <t xml:space="preserve">Modern metropolis &amp; industry / Lake &amp; river / Living old town / medina</t>
  </si>
  <si>
    <t xml:space="preserve">Boston</t>
  </si>
  <si>
    <t xml:space="preserve">Coastal &amp; maritime / Modern metropolis &amp; industry / Living old town / medina</t>
  </si>
  <si>
    <t xml:space="preserve">Philadelphia</t>
  </si>
  <si>
    <t xml:space="preserve">Los Angeles</t>
  </si>
  <si>
    <t xml:space="preserve">Modern metropolis &amp; industry / Coastal &amp; maritime / High mountain</t>
  </si>
  <si>
    <t xml:space="preserve">Everglades</t>
  </si>
  <si>
    <t xml:space="preserve">Olympic National Park</t>
  </si>
  <si>
    <t xml:space="preserve">Forest &amp; jungle / High mountain / Coastal &amp; maritime</t>
  </si>
  <si>
    <t xml:space="preserve">New Orleans</t>
  </si>
  <si>
    <t xml:space="preserve">San Francisco</t>
  </si>
  <si>
    <t xml:space="preserve">Yosemite</t>
  </si>
  <si>
    <t xml:space="preserve">High mountain / Forest &amp; jungle / Lake &amp; river</t>
  </si>
  <si>
    <t xml:space="preserve">Miami</t>
  </si>
  <si>
    <t xml:space="preserve">Coastal &amp; maritime / Modern metropolis &amp; industry / Lake &amp; river</t>
  </si>
  <si>
    <t xml:space="preserve">Seattle</t>
  </si>
  <si>
    <t xml:space="preserve">Coastal &amp; maritime / High mountain / Forest &amp; jungle</t>
  </si>
  <si>
    <t xml:space="preserve">San Antonio</t>
  </si>
  <si>
    <t xml:space="preserve">Grand Canyon</t>
  </si>
  <si>
    <t xml:space="preserve">Desert &amp; steppe / High mountain / Wildlife &amp; wilderness</t>
  </si>
  <si>
    <t xml:space="preserve">Hawaii Volcanoes</t>
  </si>
  <si>
    <t xml:space="preserve">Volcanic &amp; geothermal / Forest &amp; jungle / Coastal &amp; maritime</t>
  </si>
  <si>
    <t xml:space="preserve">Nashville</t>
  </si>
  <si>
    <t xml:space="preserve">Redwood</t>
  </si>
  <si>
    <t xml:space="preserve">Forest &amp; jungle / Coastal &amp; maritime / Wildlife &amp; wilderness</t>
  </si>
  <si>
    <t xml:space="preserve">Austin</t>
  </si>
  <si>
    <t xml:space="preserve">Yellowstone</t>
  </si>
  <si>
    <t xml:space="preserve">Volcanic &amp; geothermal / Forest &amp; jungle / High mountain</t>
  </si>
  <si>
    <t xml:space="preserve">Charleston</t>
  </si>
  <si>
    <t xml:space="preserve">Coastal &amp; maritime / Living old town / medina / Lake &amp; river</t>
  </si>
  <si>
    <t xml:space="preserve">Santa Fe</t>
  </si>
  <si>
    <t xml:space="preserve">Desert &amp; steppe / High mountain / Living old town / medina</t>
  </si>
  <si>
    <t xml:space="preserve">Savannah</t>
  </si>
  <si>
    <t xml:space="preserve">Memphis</t>
  </si>
  <si>
    <t xml:space="preserve">Mammoth Cave</t>
  </si>
  <si>
    <t xml:space="preserve">Forest &amp; jungle / Wildlife &amp; wilderness</t>
  </si>
  <si>
    <t xml:space="preserve">Great Smoky Mountains</t>
  </si>
  <si>
    <t xml:space="preserve">Detroit</t>
  </si>
  <si>
    <t xml:space="preserve">Lake &amp; river / Modern metropolis &amp; industry</t>
  </si>
  <si>
    <t xml:space="preserve">Badlands &amp; Black Hills</t>
  </si>
  <si>
    <t xml:space="preserve">Desert &amp; steppe / Wildlife &amp; wilderness / High mountain</t>
  </si>
  <si>
    <t xml:space="preserve">Honolulu</t>
  </si>
  <si>
    <t xml:space="preserve">Zion &amp; Bryce</t>
  </si>
  <si>
    <t xml:space="preserve">Monticello (Charlottesville)</t>
  </si>
  <si>
    <t xml:space="preserve">Living old town / medina / High mountain / Forest &amp; jungle</t>
  </si>
  <si>
    <t xml:space="preserve">Death Valley</t>
  </si>
  <si>
    <t xml:space="preserve">Lancaster (Amish Country)</t>
  </si>
  <si>
    <t xml:space="preserve">Forest &amp; jungle / Living old town / medina</t>
  </si>
  <si>
    <t xml:space="preserve">Pittsburgh</t>
  </si>
  <si>
    <t xml:space="preserve">High mountain / Modern metropolis &amp; industry</t>
  </si>
  <si>
    <t xml:space="preserve">Sedona</t>
  </si>
  <si>
    <t xml:space="preserve">Nantucket &amp; Cape Cod</t>
  </si>
  <si>
    <t xml:space="preserve">Taos Pueblo</t>
  </si>
  <si>
    <t xml:space="preserve">Desert &amp; steppe / Living old town / medina / High mountain</t>
  </si>
  <si>
    <t xml:space="preserve">Moab (Arches)</t>
  </si>
  <si>
    <t xml:space="preserve">Glacier National Park</t>
  </si>
  <si>
    <t xml:space="preserve">Mesa Verde</t>
  </si>
  <si>
    <t xml:space="preserve">Desert &amp; steppe / Forest &amp; jungle / Wildlife &amp; wilderness</t>
  </si>
  <si>
    <t xml:space="preserve">Juneau (Inside Passage)</t>
  </si>
  <si>
    <t xml:space="preserve">Coastal &amp; maritime / Forest &amp; jungle / High mountain</t>
  </si>
  <si>
    <t xml:space="preserve">Monument Valley</t>
  </si>
  <si>
    <t xml:space="preserve">Denali</t>
  </si>
  <si>
    <t xml:space="preserve">Acadia (Bar Harbor)</t>
  </si>
  <si>
    <t xml:space="preserve">Coastal &amp; maritime / Forest &amp; jungle / Wildlife &amp; wilderness</t>
  </si>
  <si>
    <t xml:space="preserve">Fallingwater</t>
  </si>
  <si>
    <t xml:space="preserve">Big Sur</t>
  </si>
  <si>
    <t xml:space="preserve">Cahokia Mounds</t>
  </si>
  <si>
    <t xml:space="preserve">Poverty Point</t>
  </si>
  <si>
    <t xml:space="preserve">Pillar columns are country-relative: 1.000 is the best in that country. Scores are never comparable across borders — that is the rule that stops national heritage registers deciding which countries matter.</t>
  </si>
  <si>
    <t xml:space="preserve">quota</t>
  </si>
  <si>
    <t xml:space="preserve">coverage redundancy</t>
  </si>
  <si>
    <t xml:space="preserve">ranking redundancy</t>
  </si>
  <si>
    <t xml:space="preserve">coverage kinds</t>
  </si>
  <si>
    <t xml:space="preserve">ranking kinds</t>
  </si>
  <si>
    <t xml:space="preserve">min spacing km</t>
  </si>
  <si>
    <t xml:space="preserve">verdict</t>
  </si>
  <si>
    <t xml:space="preserve">less redundant, more kinds</t>
  </si>
  <si>
    <t xml:space="preserve">less redundant</t>
  </si>
  <si>
    <t xml:space="preserve">no gain</t>
  </si>
  <si>
    <t xml:space="preserve">Redundancy is the mean similarity of kinds within a selection: lower is more varied.</t>
  </si>
  <si>
    <t xml:space="preserve">Both columns are measured under the SAME minimum-spacing constraint. Comparing against an unconstrained ranking would flatter the baseline, since it could take three neighbouring places of three kinds and look diverse while being physically unbuildable.</t>
  </si>
  <si>
    <t xml:space="preserve">At a realistic quota the mechanism roughly halves redundancy in a varied country.</t>
  </si>
  <si>
    <t xml:space="preserve">iso</t>
  </si>
  <si>
    <t xml:space="preserve">iso3</t>
  </si>
  <si>
    <t xml:space="preserve">continent</t>
  </si>
  <si>
    <t xml:space="preserve">area km2</t>
  </si>
  <si>
    <t xml:space="preserve">population</t>
  </si>
  <si>
    <t xml:space="preserve">capital</t>
  </si>
  <si>
    <t xml:space="preserve">settlements found</t>
  </si>
  <si>
    <t xml:space="preserve">quota: area term</t>
  </si>
  <si>
    <t xml:space="preserve">Russia</t>
  </si>
  <si>
    <t xml:space="preserve">RU</t>
  </si>
  <si>
    <t xml:space="preserve">RUS</t>
  </si>
  <si>
    <t xml:space="preserve">EU</t>
  </si>
  <si>
    <t xml:space="preserve">Moscow</t>
  </si>
  <si>
    <t xml:space="preserve">Antarctica</t>
  </si>
  <si>
    <t xml:space="preserve">AQ</t>
  </si>
  <si>
    <t xml:space="preserve">ATA</t>
  </si>
  <si>
    <t xml:space="preserve">AN</t>
  </si>
  <si>
    <t xml:space="preserve">Canada</t>
  </si>
  <si>
    <t xml:space="preserve">CA</t>
  </si>
  <si>
    <t xml:space="preserve">CAN</t>
  </si>
  <si>
    <t xml:space="preserve">NA</t>
  </si>
  <si>
    <t xml:space="preserve">Ottawa</t>
  </si>
  <si>
    <t xml:space="preserve">US</t>
  </si>
  <si>
    <t xml:space="preserve">USA</t>
  </si>
  <si>
    <t xml:space="preserve">Washington</t>
  </si>
  <si>
    <t xml:space="preserve">China</t>
  </si>
  <si>
    <t xml:space="preserve">CN</t>
  </si>
  <si>
    <t xml:space="preserve">CHN</t>
  </si>
  <si>
    <t xml:space="preserve">AS</t>
  </si>
  <si>
    <t xml:space="preserve">Beijing</t>
  </si>
  <si>
    <t xml:space="preserve">Brazil</t>
  </si>
  <si>
    <t xml:space="preserve">BR</t>
  </si>
  <si>
    <t xml:space="preserve">BRA</t>
  </si>
  <si>
    <t xml:space="preserve">SA</t>
  </si>
  <si>
    <t xml:space="preserve">Brasilia</t>
  </si>
  <si>
    <t xml:space="preserve">Australia</t>
  </si>
  <si>
    <t xml:space="preserve">AU</t>
  </si>
  <si>
    <t xml:space="preserve">AUS</t>
  </si>
  <si>
    <t xml:space="preserve">OC</t>
  </si>
  <si>
    <t xml:space="preserve">Canberra</t>
  </si>
  <si>
    <t xml:space="preserve">India</t>
  </si>
  <si>
    <t xml:space="preserve">IN</t>
  </si>
  <si>
    <t xml:space="preserve">IND</t>
  </si>
  <si>
    <t xml:space="preserve">New Delhi</t>
  </si>
  <si>
    <t xml:space="preserve">Argentina</t>
  </si>
  <si>
    <t xml:space="preserve">AR</t>
  </si>
  <si>
    <t xml:space="preserve">ARG</t>
  </si>
  <si>
    <t xml:space="preserve">Buenos Aires</t>
  </si>
  <si>
    <t xml:space="preserve">Kazakhstan</t>
  </si>
  <si>
    <t xml:space="preserve">KZ</t>
  </si>
  <si>
    <t xml:space="preserve">KAZ</t>
  </si>
  <si>
    <t xml:space="preserve">Nur-Sultan</t>
  </si>
  <si>
    <t xml:space="preserve">Algeria</t>
  </si>
  <si>
    <t xml:space="preserve">DZ</t>
  </si>
  <si>
    <t xml:space="preserve">DZA</t>
  </si>
  <si>
    <t xml:space="preserve">AF</t>
  </si>
  <si>
    <t xml:space="preserve">Algiers</t>
  </si>
  <si>
    <t xml:space="preserve">Democratic Republic of the Congo</t>
  </si>
  <si>
    <t xml:space="preserve">CD</t>
  </si>
  <si>
    <t xml:space="preserve">COD</t>
  </si>
  <si>
    <t xml:space="preserve">Kinshasa</t>
  </si>
  <si>
    <t xml:space="preserve">Greenland</t>
  </si>
  <si>
    <t xml:space="preserve">GL</t>
  </si>
  <si>
    <t xml:space="preserve">GRL</t>
  </si>
  <si>
    <t xml:space="preserve">Nuuk</t>
  </si>
  <si>
    <t xml:space="preserve">Mexico</t>
  </si>
  <si>
    <t xml:space="preserve">MX</t>
  </si>
  <si>
    <t xml:space="preserve">MEX</t>
  </si>
  <si>
    <t xml:space="preserve">Mexico City</t>
  </si>
  <si>
    <t xml:space="preserve">Saudi Arabia</t>
  </si>
  <si>
    <t xml:space="preserve">SAU</t>
  </si>
  <si>
    <t xml:space="preserve">Riyadh</t>
  </si>
  <si>
    <t xml:space="preserve">Indonesia</t>
  </si>
  <si>
    <t xml:space="preserve">ID</t>
  </si>
  <si>
    <t xml:space="preserve">IDN</t>
  </si>
  <si>
    <t xml:space="preserve">Jakarta</t>
  </si>
  <si>
    <t xml:space="preserve">Sudan</t>
  </si>
  <si>
    <t xml:space="preserve">SD</t>
  </si>
  <si>
    <t xml:space="preserve">SDN</t>
  </si>
  <si>
    <t xml:space="preserve">Khartoum</t>
  </si>
  <si>
    <t xml:space="preserve">Libya</t>
  </si>
  <si>
    <t xml:space="preserve">LY</t>
  </si>
  <si>
    <t xml:space="preserve">LBY</t>
  </si>
  <si>
    <t xml:space="preserve">Tripoli</t>
  </si>
  <si>
    <t xml:space="preserve">Iran</t>
  </si>
  <si>
    <t xml:space="preserve">IR</t>
  </si>
  <si>
    <t xml:space="preserve">IRN</t>
  </si>
  <si>
    <t xml:space="preserve">Tehran</t>
  </si>
  <si>
    <t xml:space="preserve">Mongolia</t>
  </si>
  <si>
    <t xml:space="preserve">MN</t>
  </si>
  <si>
    <t xml:space="preserve">MNG</t>
  </si>
  <si>
    <t xml:space="preserve">Ulaanbaatar</t>
  </si>
  <si>
    <t xml:space="preserve">Peru</t>
  </si>
  <si>
    <t xml:space="preserve">PE</t>
  </si>
  <si>
    <t xml:space="preserve">PER</t>
  </si>
  <si>
    <t xml:space="preserve">Lima</t>
  </si>
  <si>
    <t xml:space="preserve">Chad</t>
  </si>
  <si>
    <t xml:space="preserve">TD</t>
  </si>
  <si>
    <t xml:space="preserve">TCD</t>
  </si>
  <si>
    <t xml:space="preserve">N'Djamena</t>
  </si>
  <si>
    <t xml:space="preserve">Niger</t>
  </si>
  <si>
    <t xml:space="preserve">NE</t>
  </si>
  <si>
    <t xml:space="preserve">NER</t>
  </si>
  <si>
    <t xml:space="preserve">Niamey</t>
  </si>
  <si>
    <t xml:space="preserve">Angola</t>
  </si>
  <si>
    <t xml:space="preserve">AO</t>
  </si>
  <si>
    <t xml:space="preserve">AGO</t>
  </si>
  <si>
    <t xml:space="preserve">Luanda</t>
  </si>
  <si>
    <t xml:space="preserve">Mali</t>
  </si>
  <si>
    <t xml:space="preserve">ML</t>
  </si>
  <si>
    <t xml:space="preserve">MLI</t>
  </si>
  <si>
    <t xml:space="preserve">Bamako</t>
  </si>
  <si>
    <t xml:space="preserve">South Africa</t>
  </si>
  <si>
    <t xml:space="preserve">ZA</t>
  </si>
  <si>
    <t xml:space="preserve">ZAF</t>
  </si>
  <si>
    <t xml:space="preserve">Pretoria</t>
  </si>
  <si>
    <t xml:space="preserve">Colombia</t>
  </si>
  <si>
    <t xml:space="preserve">CO</t>
  </si>
  <si>
    <t xml:space="preserve">COL</t>
  </si>
  <si>
    <t xml:space="preserve">Bogota</t>
  </si>
  <si>
    <t xml:space="preserve">Ethiopia</t>
  </si>
  <si>
    <t xml:space="preserve">ET</t>
  </si>
  <si>
    <t xml:space="preserve">ETH</t>
  </si>
  <si>
    <t xml:space="preserve">Addis Ababa</t>
  </si>
  <si>
    <t xml:space="preserve">Bolivia</t>
  </si>
  <si>
    <t xml:space="preserve">BO</t>
  </si>
  <si>
    <t xml:space="preserve">BOL</t>
  </si>
  <si>
    <t xml:space="preserve">Sucre</t>
  </si>
  <si>
    <t xml:space="preserve">Mauritania</t>
  </si>
  <si>
    <t xml:space="preserve">MR</t>
  </si>
  <si>
    <t xml:space="preserve">MRT</t>
  </si>
  <si>
    <t xml:space="preserve">Nouakchott</t>
  </si>
  <si>
    <t xml:space="preserve">Egypt</t>
  </si>
  <si>
    <t xml:space="preserve">EG</t>
  </si>
  <si>
    <t xml:space="preserve">EGY</t>
  </si>
  <si>
    <t xml:space="preserve">Cairo</t>
  </si>
  <si>
    <t xml:space="preserve">Tanzania</t>
  </si>
  <si>
    <t xml:space="preserve">TZ</t>
  </si>
  <si>
    <t xml:space="preserve">TZA</t>
  </si>
  <si>
    <t xml:space="preserve">Dodoma</t>
  </si>
  <si>
    <t xml:space="preserve">Nigeria</t>
  </si>
  <si>
    <t xml:space="preserve">NG</t>
  </si>
  <si>
    <t xml:space="preserve">NGA</t>
  </si>
  <si>
    <t xml:space="preserve">Abuja</t>
  </si>
  <si>
    <t xml:space="preserve">Venezuela</t>
  </si>
  <si>
    <t xml:space="preserve">VE</t>
  </si>
  <si>
    <t xml:space="preserve">VEN</t>
  </si>
  <si>
    <t xml:space="preserve">Caracas</t>
  </si>
  <si>
    <t xml:space="preserve">Namibia</t>
  </si>
  <si>
    <t xml:space="preserve">NAM</t>
  </si>
  <si>
    <t xml:space="preserve">Windhoek</t>
  </si>
  <si>
    <t xml:space="preserve">Pakistan</t>
  </si>
  <si>
    <t xml:space="preserve">PK</t>
  </si>
  <si>
    <t xml:space="preserve">PAK</t>
  </si>
  <si>
    <t xml:space="preserve">Islamabad</t>
  </si>
  <si>
    <t xml:space="preserve">Mozambique</t>
  </si>
  <si>
    <t xml:space="preserve">MZ</t>
  </si>
  <si>
    <t xml:space="preserve">MOZ</t>
  </si>
  <si>
    <t xml:space="preserve">Maputo</t>
  </si>
  <si>
    <t xml:space="preserve">Turkey</t>
  </si>
  <si>
    <t xml:space="preserve">TR</t>
  </si>
  <si>
    <t xml:space="preserve">TUR</t>
  </si>
  <si>
    <t xml:space="preserve">Ankara</t>
  </si>
  <si>
    <t xml:space="preserve">Chile</t>
  </si>
  <si>
    <t xml:space="preserve">CL</t>
  </si>
  <si>
    <t xml:space="preserve">CHL</t>
  </si>
  <si>
    <t xml:space="preserve">Santiago</t>
  </si>
  <si>
    <t xml:space="preserve">Zambia</t>
  </si>
  <si>
    <t xml:space="preserve">ZM</t>
  </si>
  <si>
    <t xml:space="preserve">ZMB</t>
  </si>
  <si>
    <t xml:space="preserve">Lusaka</t>
  </si>
  <si>
    <t xml:space="preserve">Myanmar</t>
  </si>
  <si>
    <t xml:space="preserve">MM</t>
  </si>
  <si>
    <t xml:space="preserve">MMR</t>
  </si>
  <si>
    <t xml:space="preserve">Nay Pyi Taw</t>
  </si>
  <si>
    <t xml:space="preserve">Afghanistan</t>
  </si>
  <si>
    <t xml:space="preserve">AFG</t>
  </si>
  <si>
    <t xml:space="preserve">Kabul</t>
  </si>
  <si>
    <t xml:space="preserve">South Sudan</t>
  </si>
  <si>
    <t xml:space="preserve">SS</t>
  </si>
  <si>
    <t xml:space="preserve">SSD</t>
  </si>
  <si>
    <t xml:space="preserve">Juba</t>
  </si>
  <si>
    <t xml:space="preserve">Somalia</t>
  </si>
  <si>
    <t xml:space="preserve">SO</t>
  </si>
  <si>
    <t xml:space="preserve">SOM</t>
  </si>
  <si>
    <t xml:space="preserve">Mogadishu</t>
  </si>
  <si>
    <t xml:space="preserve">Central African Republic</t>
  </si>
  <si>
    <t xml:space="preserve">CF</t>
  </si>
  <si>
    <t xml:space="preserve">CAF</t>
  </si>
  <si>
    <t xml:space="preserve">Bangui</t>
  </si>
  <si>
    <t xml:space="preserve">Ukraine</t>
  </si>
  <si>
    <t xml:space="preserve">UA</t>
  </si>
  <si>
    <t xml:space="preserve">UKR</t>
  </si>
  <si>
    <t xml:space="preserve">Kyiv</t>
  </si>
  <si>
    <t xml:space="preserve">Botswana</t>
  </si>
  <si>
    <t xml:space="preserve">BW</t>
  </si>
  <si>
    <t xml:space="preserve">BWA</t>
  </si>
  <si>
    <t xml:space="preserve">Gaborone</t>
  </si>
  <si>
    <t xml:space="preserve">Madagascar</t>
  </si>
  <si>
    <t xml:space="preserve">MG</t>
  </si>
  <si>
    <t xml:space="preserve">MDG</t>
  </si>
  <si>
    <t xml:space="preserve">Antananarivo</t>
  </si>
  <si>
    <t xml:space="preserve">Kenya</t>
  </si>
  <si>
    <t xml:space="preserve">KE</t>
  </si>
  <si>
    <t xml:space="preserve">KEN</t>
  </si>
  <si>
    <t xml:space="preserve">Nairobi</t>
  </si>
  <si>
    <t xml:space="preserve">FR</t>
  </si>
  <si>
    <t xml:space="preserve">FRA</t>
  </si>
  <si>
    <t xml:space="preserve">Yemen</t>
  </si>
  <si>
    <t xml:space="preserve">YE</t>
  </si>
  <si>
    <t xml:space="preserve">YEM</t>
  </si>
  <si>
    <t xml:space="preserve">Sanaa</t>
  </si>
  <si>
    <t xml:space="preserve">Thailand</t>
  </si>
  <si>
    <t xml:space="preserve">TH</t>
  </si>
  <si>
    <t xml:space="preserve">THA</t>
  </si>
  <si>
    <t xml:space="preserve">Bangkok</t>
  </si>
  <si>
    <t xml:space="preserve">Spain</t>
  </si>
  <si>
    <t xml:space="preserve">ES</t>
  </si>
  <si>
    <t xml:space="preserve">ESP</t>
  </si>
  <si>
    <t xml:space="preserve">Madrid</t>
  </si>
  <si>
    <t xml:space="preserve">Turkmenistan</t>
  </si>
  <si>
    <t xml:space="preserve">TM</t>
  </si>
  <si>
    <t xml:space="preserve">TKM</t>
  </si>
  <si>
    <t xml:space="preserve">Ashgabat</t>
  </si>
  <si>
    <t xml:space="preserve">Cameroon</t>
  </si>
  <si>
    <t xml:space="preserve">CM</t>
  </si>
  <si>
    <t xml:space="preserve">CMR</t>
  </si>
  <si>
    <t xml:space="preserve">Yaounde</t>
  </si>
  <si>
    <t xml:space="preserve">Papua New Guinea</t>
  </si>
  <si>
    <t xml:space="preserve">PG</t>
  </si>
  <si>
    <t xml:space="preserve">PNG</t>
  </si>
  <si>
    <t xml:space="preserve">Port Moresby</t>
  </si>
  <si>
    <t xml:space="preserve">Sweden</t>
  </si>
  <si>
    <t xml:space="preserve">SE</t>
  </si>
  <si>
    <t xml:space="preserve">SWE</t>
  </si>
  <si>
    <t xml:space="preserve">Stockholm</t>
  </si>
  <si>
    <t xml:space="preserve">Uzbekistan</t>
  </si>
  <si>
    <t xml:space="preserve">UZ</t>
  </si>
  <si>
    <t xml:space="preserve">UZB</t>
  </si>
  <si>
    <t xml:space="preserve">Tashkent</t>
  </si>
  <si>
    <t xml:space="preserve">MA</t>
  </si>
  <si>
    <t xml:space="preserve">MAR</t>
  </si>
  <si>
    <t xml:space="preserve">Iraq</t>
  </si>
  <si>
    <t xml:space="preserve">IQ</t>
  </si>
  <si>
    <t xml:space="preserve">IRQ</t>
  </si>
  <si>
    <t xml:space="preserve">Baghdad</t>
  </si>
  <si>
    <t xml:space="preserve">Paraguay</t>
  </si>
  <si>
    <t xml:space="preserve">PY</t>
  </si>
  <si>
    <t xml:space="preserve">PRY</t>
  </si>
  <si>
    <t xml:space="preserve">Asuncion</t>
  </si>
  <si>
    <t xml:space="preserve">Zimbabwe</t>
  </si>
  <si>
    <t xml:space="preserve">ZW</t>
  </si>
  <si>
    <t xml:space="preserve">ZWE</t>
  </si>
  <si>
    <t xml:space="preserve">Harare</t>
  </si>
  <si>
    <t xml:space="preserve">Japan</t>
  </si>
  <si>
    <t xml:space="preserve">JP</t>
  </si>
  <si>
    <t xml:space="preserve">JPN</t>
  </si>
  <si>
    <t xml:space="preserve">Tokyo</t>
  </si>
  <si>
    <t xml:space="preserve">Germany</t>
  </si>
  <si>
    <t xml:space="preserve">DE</t>
  </si>
  <si>
    <t xml:space="preserve">DEU</t>
  </si>
  <si>
    <t xml:space="preserve">Berlin</t>
  </si>
  <si>
    <t xml:space="preserve">Republic of the Congo</t>
  </si>
  <si>
    <t xml:space="preserve">CG</t>
  </si>
  <si>
    <t xml:space="preserve">COG</t>
  </si>
  <si>
    <t xml:space="preserve">Brazzaville</t>
  </si>
  <si>
    <t xml:space="preserve">Finland</t>
  </si>
  <si>
    <t xml:space="preserve">FI</t>
  </si>
  <si>
    <t xml:space="preserve">FIN</t>
  </si>
  <si>
    <t xml:space="preserve">Helsinki</t>
  </si>
  <si>
    <t xml:space="preserve">Malaysia</t>
  </si>
  <si>
    <t xml:space="preserve">MY</t>
  </si>
  <si>
    <t xml:space="preserve">MYS</t>
  </si>
  <si>
    <t xml:space="preserve">Kuala Lumpur</t>
  </si>
  <si>
    <t xml:space="preserve">Vietnam</t>
  </si>
  <si>
    <t xml:space="preserve">VN</t>
  </si>
  <si>
    <t xml:space="preserve">VNM</t>
  </si>
  <si>
    <t xml:space="preserve">Hanoi</t>
  </si>
  <si>
    <t xml:space="preserve">Norway</t>
  </si>
  <si>
    <t xml:space="preserve">NO</t>
  </si>
  <si>
    <t xml:space="preserve">NOR</t>
  </si>
  <si>
    <t xml:space="preserve">Oslo</t>
  </si>
  <si>
    <t xml:space="preserve">Ivory Coast</t>
  </si>
  <si>
    <t xml:space="preserve">CI</t>
  </si>
  <si>
    <t xml:space="preserve">CIV</t>
  </si>
  <si>
    <t xml:space="preserve">Yamoussoukro</t>
  </si>
  <si>
    <t xml:space="preserve">Poland</t>
  </si>
  <si>
    <t xml:space="preserve">PL</t>
  </si>
  <si>
    <t xml:space="preserve">POL</t>
  </si>
  <si>
    <t xml:space="preserve">Warsaw</t>
  </si>
  <si>
    <t xml:space="preserve">Italy</t>
  </si>
  <si>
    <t xml:space="preserve">IT</t>
  </si>
  <si>
    <t xml:space="preserve">ITA</t>
  </si>
  <si>
    <t xml:space="preserve">Rome</t>
  </si>
  <si>
    <t xml:space="preserve">Philippines</t>
  </si>
  <si>
    <t xml:space="preserve">PH</t>
  </si>
  <si>
    <t xml:space="preserve">PHL</t>
  </si>
  <si>
    <t xml:space="preserve">Manila</t>
  </si>
  <si>
    <t xml:space="preserve">Ecuador</t>
  </si>
  <si>
    <t xml:space="preserve">EC</t>
  </si>
  <si>
    <t xml:space="preserve">ECU</t>
  </si>
  <si>
    <t xml:space="preserve">Quito</t>
  </si>
  <si>
    <t xml:space="preserve">Burkina Faso</t>
  </si>
  <si>
    <t xml:space="preserve">BF</t>
  </si>
  <si>
    <t xml:space="preserve">BFA</t>
  </si>
  <si>
    <t xml:space="preserve">Ouagadougou</t>
  </si>
  <si>
    <t xml:space="preserve">New Zealand</t>
  </si>
  <si>
    <t xml:space="preserve">NZ</t>
  </si>
  <si>
    <t xml:space="preserve">NZL</t>
  </si>
  <si>
    <t xml:space="preserve">Wellington</t>
  </si>
  <si>
    <t xml:space="preserve">Gabon</t>
  </si>
  <si>
    <t xml:space="preserve">GA</t>
  </si>
  <si>
    <t xml:space="preserve">GAB</t>
  </si>
  <si>
    <t xml:space="preserve">Libreville</t>
  </si>
  <si>
    <t xml:space="preserve">Western Sahara</t>
  </si>
  <si>
    <t xml:space="preserve">EH</t>
  </si>
  <si>
    <t xml:space="preserve">ESH</t>
  </si>
  <si>
    <t xml:space="preserve">El-Aaiun</t>
  </si>
  <si>
    <t xml:space="preserve">Guinea</t>
  </si>
  <si>
    <t xml:space="preserve">GN</t>
  </si>
  <si>
    <t xml:space="preserve">GIN</t>
  </si>
  <si>
    <t xml:space="preserve">Conakry</t>
  </si>
  <si>
    <t xml:space="preserve">United Kingdom</t>
  </si>
  <si>
    <t xml:space="preserve">GB</t>
  </si>
  <si>
    <t xml:space="preserve">GBR</t>
  </si>
  <si>
    <t xml:space="preserve">London</t>
  </si>
  <si>
    <t xml:space="preserve">Ghana</t>
  </si>
  <si>
    <t xml:space="preserve">GH</t>
  </si>
  <si>
    <t xml:space="preserve">GHA</t>
  </si>
  <si>
    <t xml:space="preserve">Accra</t>
  </si>
  <si>
    <t xml:space="preserve">Romania</t>
  </si>
  <si>
    <t xml:space="preserve">RO</t>
  </si>
  <si>
    <t xml:space="preserve">ROU</t>
  </si>
  <si>
    <t xml:space="preserve">Bucharest</t>
  </si>
  <si>
    <t xml:space="preserve">Laos</t>
  </si>
  <si>
    <t xml:space="preserve">LA</t>
  </si>
  <si>
    <t xml:space="preserve">LAO</t>
  </si>
  <si>
    <t xml:space="preserve">Vientiane</t>
  </si>
  <si>
    <t xml:space="preserve">Uganda</t>
  </si>
  <si>
    <t xml:space="preserve">UG</t>
  </si>
  <si>
    <t xml:space="preserve">UGA</t>
  </si>
  <si>
    <t xml:space="preserve">Kampala</t>
  </si>
  <si>
    <t xml:space="preserve">Guyana</t>
  </si>
  <si>
    <t xml:space="preserve">GY</t>
  </si>
  <si>
    <t xml:space="preserve">GUY</t>
  </si>
  <si>
    <t xml:space="preserve">Georgetown</t>
  </si>
  <si>
    <t xml:space="preserve">Oman</t>
  </si>
  <si>
    <t xml:space="preserve">OM</t>
  </si>
  <si>
    <t xml:space="preserve">OMN</t>
  </si>
  <si>
    <t xml:space="preserve">Muscat</t>
  </si>
  <si>
    <t xml:space="preserve">Belarus</t>
  </si>
  <si>
    <t xml:space="preserve">BY</t>
  </si>
  <si>
    <t xml:space="preserve">BLR</t>
  </si>
  <si>
    <t xml:space="preserve">Minsk</t>
  </si>
  <si>
    <t xml:space="preserve">Kyrgyzstan</t>
  </si>
  <si>
    <t xml:space="preserve">KG</t>
  </si>
  <si>
    <t xml:space="preserve">KGZ</t>
  </si>
  <si>
    <t xml:space="preserve">Bishkek</t>
  </si>
  <si>
    <t xml:space="preserve">Senegal</t>
  </si>
  <si>
    <t xml:space="preserve">SN</t>
  </si>
  <si>
    <t xml:space="preserve">SEN</t>
  </si>
  <si>
    <t xml:space="preserve">Dakar</t>
  </si>
  <si>
    <t xml:space="preserve">Syria</t>
  </si>
  <si>
    <t xml:space="preserve">SY</t>
  </si>
  <si>
    <t xml:space="preserve">SYR</t>
  </si>
  <si>
    <t xml:space="preserve">Damascus</t>
  </si>
  <si>
    <t xml:space="preserve">Cambodia</t>
  </si>
  <si>
    <t xml:space="preserve">KH</t>
  </si>
  <si>
    <t xml:space="preserve">KHM</t>
  </si>
  <si>
    <t xml:space="preserve">Phnom Penh</t>
  </si>
  <si>
    <t xml:space="preserve">Uruguay</t>
  </si>
  <si>
    <t xml:space="preserve">UY</t>
  </si>
  <si>
    <t xml:space="preserve">URY</t>
  </si>
  <si>
    <t xml:space="preserve">Montevideo</t>
  </si>
  <si>
    <t xml:space="preserve">Tunisia</t>
  </si>
  <si>
    <t xml:space="preserve">TN</t>
  </si>
  <si>
    <t xml:space="preserve">TUN</t>
  </si>
  <si>
    <t xml:space="preserve">Tunis</t>
  </si>
  <si>
    <t xml:space="preserve">Suriname</t>
  </si>
  <si>
    <t xml:space="preserve">SR</t>
  </si>
  <si>
    <t xml:space="preserve">SUR</t>
  </si>
  <si>
    <t xml:space="preserve">Paramaribo</t>
  </si>
  <si>
    <t xml:space="preserve">Bangladesh</t>
  </si>
  <si>
    <t xml:space="preserve">BD</t>
  </si>
  <si>
    <t xml:space="preserve">BGD</t>
  </si>
  <si>
    <t xml:space="preserve">Dhaka</t>
  </si>
  <si>
    <t xml:space="preserve">Tajikistan</t>
  </si>
  <si>
    <t xml:space="preserve">TJ</t>
  </si>
  <si>
    <t xml:space="preserve">TJK</t>
  </si>
  <si>
    <t xml:space="preserve">Dushanbe</t>
  </si>
  <si>
    <t xml:space="preserve">NP</t>
  </si>
  <si>
    <t xml:space="preserve">NPL</t>
  </si>
  <si>
    <t xml:space="preserve">Greece</t>
  </si>
  <si>
    <t xml:space="preserve">GR</t>
  </si>
  <si>
    <t xml:space="preserve">GRC</t>
  </si>
  <si>
    <t xml:space="preserve">Athens</t>
  </si>
  <si>
    <t xml:space="preserve">Nicaragua</t>
  </si>
  <si>
    <t xml:space="preserve">NI</t>
  </si>
  <si>
    <t xml:space="preserve">NIC</t>
  </si>
  <si>
    <t xml:space="preserve">Managua</t>
  </si>
  <si>
    <t xml:space="preserve">Eritrea</t>
  </si>
  <si>
    <t xml:space="preserve">ER</t>
  </si>
  <si>
    <t xml:space="preserve">ERI</t>
  </si>
  <si>
    <t xml:space="preserve">Asmara</t>
  </si>
  <si>
    <t xml:space="preserve">North Korea</t>
  </si>
  <si>
    <t xml:space="preserve">KP</t>
  </si>
  <si>
    <t xml:space="preserve">PRK</t>
  </si>
  <si>
    <t xml:space="preserve">Pyongyang</t>
  </si>
  <si>
    <t xml:space="preserve">Malawi</t>
  </si>
  <si>
    <t xml:space="preserve">MW</t>
  </si>
  <si>
    <t xml:space="preserve">MWI</t>
  </si>
  <si>
    <t xml:space="preserve">Lilongwe</t>
  </si>
  <si>
    <t xml:space="preserve">Benin</t>
  </si>
  <si>
    <t xml:space="preserve">BJ</t>
  </si>
  <si>
    <t xml:space="preserve">BEN</t>
  </si>
  <si>
    <t xml:space="preserve">Porto-Novo</t>
  </si>
  <si>
    <t xml:space="preserve">Honduras</t>
  </si>
  <si>
    <t xml:space="preserve">HN</t>
  </si>
  <si>
    <t xml:space="preserve">HND</t>
  </si>
  <si>
    <t xml:space="preserve">Tegucigalpa</t>
  </si>
  <si>
    <t xml:space="preserve">Liberia</t>
  </si>
  <si>
    <t xml:space="preserve">LR</t>
  </si>
  <si>
    <t xml:space="preserve">LBR</t>
  </si>
  <si>
    <t xml:space="preserve">Monrovia</t>
  </si>
  <si>
    <t xml:space="preserve">Bulgaria</t>
  </si>
  <si>
    <t xml:space="preserve">BG</t>
  </si>
  <si>
    <t xml:space="preserve">BGR</t>
  </si>
  <si>
    <t xml:space="preserve">Sofia</t>
  </si>
  <si>
    <t xml:space="preserve">Cuba</t>
  </si>
  <si>
    <t xml:space="preserve">CU</t>
  </si>
  <si>
    <t xml:space="preserve">CUB</t>
  </si>
  <si>
    <t xml:space="preserve">Havana</t>
  </si>
  <si>
    <t xml:space="preserve">Guatemala</t>
  </si>
  <si>
    <t xml:space="preserve">GT</t>
  </si>
  <si>
    <t xml:space="preserve">GTM</t>
  </si>
  <si>
    <t xml:space="preserve">Guatemala City</t>
  </si>
  <si>
    <t xml:space="preserve">IS</t>
  </si>
  <si>
    <t xml:space="preserve">ISL</t>
  </si>
  <si>
    <t xml:space="preserve">Serbia and Montenegro</t>
  </si>
  <si>
    <t xml:space="preserve">CS</t>
  </si>
  <si>
    <t xml:space="preserve">SCG</t>
  </si>
  <si>
    <t xml:space="preserve">Belgrade</t>
  </si>
  <si>
    <t xml:space="preserve">South Korea</t>
  </si>
  <si>
    <t xml:space="preserve">KR</t>
  </si>
  <si>
    <t xml:space="preserve">KOR</t>
  </si>
  <si>
    <t xml:space="preserve">Seoul</t>
  </si>
  <si>
    <t xml:space="preserve">Hungary</t>
  </si>
  <si>
    <t xml:space="preserve">HU</t>
  </si>
  <si>
    <t xml:space="preserve">HUN</t>
  </si>
  <si>
    <t xml:space="preserve">Budapest</t>
  </si>
  <si>
    <t xml:space="preserve">Portugal</t>
  </si>
  <si>
    <t xml:space="preserve">PT</t>
  </si>
  <si>
    <t xml:space="preserve">PRT</t>
  </si>
  <si>
    <t xml:space="preserve">Lisbon</t>
  </si>
  <si>
    <t xml:space="preserve">Jordan</t>
  </si>
  <si>
    <t xml:space="preserve">JO</t>
  </si>
  <si>
    <t xml:space="preserve">JOR</t>
  </si>
  <si>
    <t xml:space="preserve">Amman</t>
  </si>
  <si>
    <t xml:space="preserve">French Guiana</t>
  </si>
  <si>
    <t xml:space="preserve">GF</t>
  </si>
  <si>
    <t xml:space="preserve">GUF</t>
  </si>
  <si>
    <t xml:space="preserve">Cayenne</t>
  </si>
  <si>
    <t xml:space="preserve">Serbia</t>
  </si>
  <si>
    <t xml:space="preserve">RS</t>
  </si>
  <si>
    <t xml:space="preserve">SRB</t>
  </si>
  <si>
    <t xml:space="preserve">Azerbaijan</t>
  </si>
  <si>
    <t xml:space="preserve">AZ</t>
  </si>
  <si>
    <t xml:space="preserve">AZE</t>
  </si>
  <si>
    <t xml:space="preserve">Baku</t>
  </si>
  <si>
    <t xml:space="preserve">Austria</t>
  </si>
  <si>
    <t xml:space="preserve">AT</t>
  </si>
  <si>
    <t xml:space="preserve">AUT</t>
  </si>
  <si>
    <t xml:space="preserve">Vienna</t>
  </si>
  <si>
    <t xml:space="preserve">United Arab Emirates</t>
  </si>
  <si>
    <t xml:space="preserve">AE</t>
  </si>
  <si>
    <t xml:space="preserve">ARE</t>
  </si>
  <si>
    <t xml:space="preserve">Abu Dhabi</t>
  </si>
  <si>
    <t xml:space="preserve">Czechia</t>
  </si>
  <si>
    <t xml:space="preserve">CZ</t>
  </si>
  <si>
    <t xml:space="preserve">CZE</t>
  </si>
  <si>
    <t xml:space="preserve">Prague</t>
  </si>
  <si>
    <t xml:space="preserve">Panama</t>
  </si>
  <si>
    <t xml:space="preserve">PA</t>
  </si>
  <si>
    <t xml:space="preserve">PAN</t>
  </si>
  <si>
    <t xml:space="preserve">Panama City</t>
  </si>
  <si>
    <t xml:space="preserve">Sierra Leone</t>
  </si>
  <si>
    <t xml:space="preserve">SL</t>
  </si>
  <si>
    <t xml:space="preserve">SLE</t>
  </si>
  <si>
    <t xml:space="preserve">Freetown</t>
  </si>
  <si>
    <t xml:space="preserve">Ireland</t>
  </si>
  <si>
    <t xml:space="preserve">IE</t>
  </si>
  <si>
    <t xml:space="preserve">IRL</t>
  </si>
  <si>
    <t xml:space="preserve">Dublin</t>
  </si>
  <si>
    <t xml:space="preserve">Georgia</t>
  </si>
  <si>
    <t xml:space="preserve">GE</t>
  </si>
  <si>
    <t xml:space="preserve">GEO</t>
  </si>
  <si>
    <t xml:space="preserve">Tbilisi</t>
  </si>
  <si>
    <t xml:space="preserve">Sri Lanka</t>
  </si>
  <si>
    <t xml:space="preserve">LK</t>
  </si>
  <si>
    <t xml:space="preserve">LKA</t>
  </si>
  <si>
    <t xml:space="preserve">Colombo</t>
  </si>
  <si>
    <t xml:space="preserve">Lithuania</t>
  </si>
  <si>
    <t xml:space="preserve">LT</t>
  </si>
  <si>
    <t xml:space="preserve">LTU</t>
  </si>
  <si>
    <t xml:space="preserve">Vilnius</t>
  </si>
  <si>
    <t xml:space="preserve">Latvia</t>
  </si>
  <si>
    <t xml:space="preserve">LV</t>
  </si>
  <si>
    <t xml:space="preserve">LVA</t>
  </si>
  <si>
    <t xml:space="preserve">Riga</t>
  </si>
  <si>
    <t xml:space="preserve">Svalbard and Jan Mayen</t>
  </si>
  <si>
    <t xml:space="preserve">SJ</t>
  </si>
  <si>
    <t xml:space="preserve">SJM</t>
  </si>
  <si>
    <t xml:space="preserve">Longyearbyen</t>
  </si>
  <si>
    <t xml:space="preserve">Togo</t>
  </si>
  <si>
    <t xml:space="preserve">TG</t>
  </si>
  <si>
    <t xml:space="preserve">TGO</t>
  </si>
  <si>
    <t xml:space="preserve">Lome</t>
  </si>
  <si>
    <t xml:space="preserve">Croatia</t>
  </si>
  <si>
    <t xml:space="preserve">HR</t>
  </si>
  <si>
    <t xml:space="preserve">HRV</t>
  </si>
  <si>
    <t xml:space="preserve">Zagreb</t>
  </si>
  <si>
    <t xml:space="preserve">Bosnia and Herzegovina</t>
  </si>
  <si>
    <t xml:space="preserve">BA</t>
  </si>
  <si>
    <t xml:space="preserve">BIH</t>
  </si>
  <si>
    <t xml:space="preserve">Sarajevo</t>
  </si>
  <si>
    <t xml:space="preserve">Costa Rica</t>
  </si>
  <si>
    <t xml:space="preserve">CR</t>
  </si>
  <si>
    <t xml:space="preserve">CRI</t>
  </si>
  <si>
    <t xml:space="preserve">San Jose</t>
  </si>
  <si>
    <t xml:space="preserve">Slovakia</t>
  </si>
  <si>
    <t xml:space="preserve">SK</t>
  </si>
  <si>
    <t xml:space="preserve">SVK</t>
  </si>
  <si>
    <t xml:space="preserve">Bratislava</t>
  </si>
  <si>
    <t xml:space="preserve">Dominican Republic</t>
  </si>
  <si>
    <t xml:space="preserve">DO</t>
  </si>
  <si>
    <t xml:space="preserve">DOM</t>
  </si>
  <si>
    <t xml:space="preserve">Santo Domingo</t>
  </si>
  <si>
    <t xml:space="preserve">Bhutan</t>
  </si>
  <si>
    <t xml:space="preserve">BT</t>
  </si>
  <si>
    <t xml:space="preserve">BTN</t>
  </si>
  <si>
    <t xml:space="preserve">Thimphu</t>
  </si>
  <si>
    <t xml:space="preserve">Estonia</t>
  </si>
  <si>
    <t xml:space="preserve">EE</t>
  </si>
  <si>
    <t xml:space="preserve">EST</t>
  </si>
  <si>
    <t xml:space="preserve">Tallinn</t>
  </si>
  <si>
    <t xml:space="preserve">Denmark</t>
  </si>
  <si>
    <t xml:space="preserve">DK</t>
  </si>
  <si>
    <t xml:space="preserve">DNK</t>
  </si>
  <si>
    <t xml:space="preserve">Copenhagen</t>
  </si>
  <si>
    <t xml:space="preserve">The Netherlands</t>
  </si>
  <si>
    <t xml:space="preserve">NL</t>
  </si>
  <si>
    <t xml:space="preserve">NLD</t>
  </si>
  <si>
    <t xml:space="preserve">Amsterdam</t>
  </si>
  <si>
    <t xml:space="preserve">Switzerland</t>
  </si>
  <si>
    <t xml:space="preserve">CH</t>
  </si>
  <si>
    <t xml:space="preserve">CHE</t>
  </si>
  <si>
    <t xml:space="preserve">Bern</t>
  </si>
  <si>
    <t xml:space="preserve">Guinea-Bissau</t>
  </si>
  <si>
    <t xml:space="preserve">GW</t>
  </si>
  <si>
    <t xml:space="preserve">GNB</t>
  </si>
  <si>
    <t xml:space="preserve">Bissau</t>
  </si>
  <si>
    <t xml:space="preserve">Taiwan</t>
  </si>
  <si>
    <t xml:space="preserve">TW</t>
  </si>
  <si>
    <t xml:space="preserve">TWN</t>
  </si>
  <si>
    <t xml:space="preserve">Taipei</t>
  </si>
  <si>
    <t xml:space="preserve">Moldova</t>
  </si>
  <si>
    <t xml:space="preserve">MD</t>
  </si>
  <si>
    <t xml:space="preserve">MDA</t>
  </si>
  <si>
    <t xml:space="preserve">Chisinau</t>
  </si>
  <si>
    <t xml:space="preserve">Belgium</t>
  </si>
  <si>
    <t xml:space="preserve">BE</t>
  </si>
  <si>
    <t xml:space="preserve">BEL</t>
  </si>
  <si>
    <t xml:space="preserve">Brussels</t>
  </si>
  <si>
    <t xml:space="preserve">Lesotho</t>
  </si>
  <si>
    <t xml:space="preserve">LS</t>
  </si>
  <si>
    <t xml:space="preserve">LSO</t>
  </si>
  <si>
    <t xml:space="preserve">Maseru</t>
  </si>
  <si>
    <t xml:space="preserve">Armenia</t>
  </si>
  <si>
    <t xml:space="preserve">AM</t>
  </si>
  <si>
    <t xml:space="preserve">ARM</t>
  </si>
  <si>
    <t xml:space="preserve">Yerevan</t>
  </si>
  <si>
    <t xml:space="preserve">Albania</t>
  </si>
  <si>
    <t xml:space="preserve">AL</t>
  </si>
  <si>
    <t xml:space="preserve">ALB</t>
  </si>
  <si>
    <t xml:space="preserve">Tirana</t>
  </si>
  <si>
    <t xml:space="preserve">Solomon Islands</t>
  </si>
  <si>
    <t xml:space="preserve">SB</t>
  </si>
  <si>
    <t xml:space="preserve">SLB</t>
  </si>
  <si>
    <t xml:space="preserve">Honiara</t>
  </si>
  <si>
    <t xml:space="preserve">Equatorial Guinea</t>
  </si>
  <si>
    <t xml:space="preserve">GQ</t>
  </si>
  <si>
    <t xml:space="preserve">GNQ</t>
  </si>
  <si>
    <t xml:space="preserve">Ciudad de la Paz</t>
  </si>
  <si>
    <t xml:space="preserve">Burundi</t>
  </si>
  <si>
    <t xml:space="preserve">BI</t>
  </si>
  <si>
    <t xml:space="preserve">BDI</t>
  </si>
  <si>
    <t xml:space="preserve">Gitega</t>
  </si>
  <si>
    <t xml:space="preserve">Haiti</t>
  </si>
  <si>
    <t xml:space="preserve">HT</t>
  </si>
  <si>
    <t xml:space="preserve">HTI</t>
  </si>
  <si>
    <t xml:space="preserve">Port-au-Prince</t>
  </si>
  <si>
    <t xml:space="preserve">Rwanda</t>
  </si>
  <si>
    <t xml:space="preserve">RW</t>
  </si>
  <si>
    <t xml:space="preserve">RWA</t>
  </si>
  <si>
    <t xml:space="preserve">Kigali</t>
  </si>
  <si>
    <t xml:space="preserve">North Macedonia</t>
  </si>
  <si>
    <t xml:space="preserve">MK</t>
  </si>
  <si>
    <t xml:space="preserve">MKD</t>
  </si>
  <si>
    <t xml:space="preserve">Skopje</t>
  </si>
  <si>
    <t xml:space="preserve">Djibouti</t>
  </si>
  <si>
    <t xml:space="preserve">DJ</t>
  </si>
  <si>
    <t xml:space="preserve">DJI</t>
  </si>
  <si>
    <t xml:space="preserve">Belize</t>
  </si>
  <si>
    <t xml:space="preserve">BZ</t>
  </si>
  <si>
    <t xml:space="preserve">BLZ</t>
  </si>
  <si>
    <t xml:space="preserve">Belmopan</t>
  </si>
  <si>
    <t xml:space="preserve">El Salvador</t>
  </si>
  <si>
    <t xml:space="preserve">SV</t>
  </si>
  <si>
    <t xml:space="preserve">SLV</t>
  </si>
  <si>
    <t xml:space="preserve">San Salvador</t>
  </si>
  <si>
    <t xml:space="preserve">Israel</t>
  </si>
  <si>
    <t xml:space="preserve">IL</t>
  </si>
  <si>
    <t xml:space="preserve">ISR</t>
  </si>
  <si>
    <t xml:space="preserve">Jerusalem</t>
  </si>
  <si>
    <t xml:space="preserve">Slovenia</t>
  </si>
  <si>
    <t xml:space="preserve">SI</t>
  </si>
  <si>
    <t xml:space="preserve">SVN</t>
  </si>
  <si>
    <t xml:space="preserve">Ljubljana</t>
  </si>
  <si>
    <t xml:space="preserve">New Caledonia</t>
  </si>
  <si>
    <t xml:space="preserve">NC</t>
  </si>
  <si>
    <t xml:space="preserve">NCL</t>
  </si>
  <si>
    <t xml:space="preserve">Noumea</t>
  </si>
  <si>
    <t xml:space="preserve">Fiji</t>
  </si>
  <si>
    <t xml:space="preserve">FJ</t>
  </si>
  <si>
    <t xml:space="preserve">FJI</t>
  </si>
  <si>
    <t xml:space="preserve">Suva</t>
  </si>
  <si>
    <t xml:space="preserve">Kuwait</t>
  </si>
  <si>
    <t xml:space="preserve">KW</t>
  </si>
  <si>
    <t xml:space="preserve">KWT</t>
  </si>
  <si>
    <t xml:space="preserve">Kuwait City</t>
  </si>
  <si>
    <t xml:space="preserve">Eswatini</t>
  </si>
  <si>
    <t xml:space="preserve">SZ</t>
  </si>
  <si>
    <t xml:space="preserve">SWZ</t>
  </si>
  <si>
    <t xml:space="preserve">Mbabane</t>
  </si>
  <si>
    <t xml:space="preserve">Timor Leste</t>
  </si>
  <si>
    <t xml:space="preserve">TL</t>
  </si>
  <si>
    <t xml:space="preserve">TLS</t>
  </si>
  <si>
    <t xml:space="preserve">Dili</t>
  </si>
  <si>
    <t xml:space="preserve">Montenegro</t>
  </si>
  <si>
    <t xml:space="preserve">ME</t>
  </si>
  <si>
    <t xml:space="preserve">MNE</t>
  </si>
  <si>
    <t xml:space="preserve">Podgorica</t>
  </si>
  <si>
    <t xml:space="preserve">Bahamas</t>
  </si>
  <si>
    <t xml:space="preserve">BS</t>
  </si>
  <si>
    <t xml:space="preserve">BHS</t>
  </si>
  <si>
    <t xml:space="preserve">Nassau</t>
  </si>
  <si>
    <t xml:space="preserve">Vanuatu</t>
  </si>
  <si>
    <t xml:space="preserve">VU</t>
  </si>
  <si>
    <t xml:space="preserve">VUT</t>
  </si>
  <si>
    <t xml:space="preserve">Port Vila</t>
  </si>
  <si>
    <t xml:space="preserve">Falkland Islands</t>
  </si>
  <si>
    <t xml:space="preserve">FK</t>
  </si>
  <si>
    <t xml:space="preserve">FLK</t>
  </si>
  <si>
    <t xml:space="preserve">Stanley</t>
  </si>
  <si>
    <t xml:space="preserve">Qatar</t>
  </si>
  <si>
    <t xml:space="preserve">QA</t>
  </si>
  <si>
    <t xml:space="preserve">QAT</t>
  </si>
  <si>
    <t xml:space="preserve">Doha</t>
  </si>
  <si>
    <t xml:space="preserve">Gambia</t>
  </si>
  <si>
    <t xml:space="preserve">GM</t>
  </si>
  <si>
    <t xml:space="preserve">GMB</t>
  </si>
  <si>
    <t xml:space="preserve">Banjul</t>
  </si>
  <si>
    <t xml:space="preserve">Jamaica</t>
  </si>
  <si>
    <t xml:space="preserve">JM</t>
  </si>
  <si>
    <t xml:space="preserve">JAM</t>
  </si>
  <si>
    <t xml:space="preserve">Kingston</t>
  </si>
  <si>
    <t xml:space="preserve">Kosovo</t>
  </si>
  <si>
    <t xml:space="preserve">XK</t>
  </si>
  <si>
    <t xml:space="preserve">XKX</t>
  </si>
  <si>
    <t xml:space="preserve">Pristina</t>
  </si>
  <si>
    <t xml:space="preserve">Lebanon</t>
  </si>
  <si>
    <t xml:space="preserve">LB</t>
  </si>
  <si>
    <t xml:space="preserve">LBN</t>
  </si>
  <si>
    <t xml:space="preserve">Beirut</t>
  </si>
  <si>
    <t xml:space="preserve">Cyprus</t>
  </si>
  <si>
    <t xml:space="preserve">CY</t>
  </si>
  <si>
    <t xml:space="preserve">CYP</t>
  </si>
  <si>
    <t xml:space="preserve">Nicosia</t>
  </si>
  <si>
    <t xml:space="preserve">Puerto Rico</t>
  </si>
  <si>
    <t xml:space="preserve">PR</t>
  </si>
  <si>
    <t xml:space="preserve">PRI</t>
  </si>
  <si>
    <t xml:space="preserve">San Juan</t>
  </si>
  <si>
    <t xml:space="preserve">French Southern Territories</t>
  </si>
  <si>
    <t xml:space="preserve">TF</t>
  </si>
  <si>
    <t xml:space="preserve">ATF</t>
  </si>
  <si>
    <t xml:space="preserve">Port-aux-Francais</t>
  </si>
  <si>
    <t xml:space="preserve">Palestinian Territory</t>
  </si>
  <si>
    <t xml:space="preserve">PS</t>
  </si>
  <si>
    <t xml:space="preserve">PSE</t>
  </si>
  <si>
    <t xml:space="preserve">East Jerusalem</t>
  </si>
  <si>
    <t xml:space="preserve">Brunei</t>
  </si>
  <si>
    <t xml:space="preserve">BN</t>
  </si>
  <si>
    <t xml:space="preserve">BRN</t>
  </si>
  <si>
    <t xml:space="preserve">Bandar Seri Begawan</t>
  </si>
  <si>
    <t xml:space="preserve">Trinidad and Tobago</t>
  </si>
  <si>
    <t xml:space="preserve">TT</t>
  </si>
  <si>
    <t xml:space="preserve">TTO</t>
  </si>
  <si>
    <t xml:space="preserve">Port of Spain</t>
  </si>
  <si>
    <t xml:space="preserve">French Polynesia</t>
  </si>
  <si>
    <t xml:space="preserve">PF</t>
  </si>
  <si>
    <t xml:space="preserve">PYF</t>
  </si>
  <si>
    <t xml:space="preserve">Papeete</t>
  </si>
  <si>
    <t xml:space="preserve">Cabo Verde</t>
  </si>
  <si>
    <t xml:space="preserve">CV</t>
  </si>
  <si>
    <t xml:space="preserve">CPV</t>
  </si>
  <si>
    <t xml:space="preserve">Praia</t>
  </si>
  <si>
    <t xml:space="preserve">South Georgia and the South Sandwich Islands</t>
  </si>
  <si>
    <t xml:space="preserve">GS</t>
  </si>
  <si>
    <t xml:space="preserve">SGS</t>
  </si>
  <si>
    <t xml:space="preserve">Grytviken</t>
  </si>
  <si>
    <t xml:space="preserve">Samoa</t>
  </si>
  <si>
    <t xml:space="preserve">WS</t>
  </si>
  <si>
    <t xml:space="preserve">WSM</t>
  </si>
  <si>
    <t xml:space="preserve">Apia</t>
  </si>
  <si>
    <t xml:space="preserve">Luxembourg</t>
  </si>
  <si>
    <t xml:space="preserve">LU</t>
  </si>
  <si>
    <t xml:space="preserve">LUX</t>
  </si>
  <si>
    <t xml:space="preserve">Reunion</t>
  </si>
  <si>
    <t xml:space="preserve">RE</t>
  </si>
  <si>
    <t xml:space="preserve">REU</t>
  </si>
  <si>
    <t xml:space="preserve">Saint-Denis</t>
  </si>
  <si>
    <t xml:space="preserve">Comoros</t>
  </si>
  <si>
    <t xml:space="preserve">KM</t>
  </si>
  <si>
    <t xml:space="preserve">COM</t>
  </si>
  <si>
    <t xml:space="preserve">Moroni</t>
  </si>
  <si>
    <t xml:space="preserve">Mauritius</t>
  </si>
  <si>
    <t xml:space="preserve">MU</t>
  </si>
  <si>
    <t xml:space="preserve">MUS</t>
  </si>
  <si>
    <t xml:space="preserve">Port Louis</t>
  </si>
  <si>
    <t xml:space="preserve">Guadeloupe</t>
  </si>
  <si>
    <t xml:space="preserve">GP</t>
  </si>
  <si>
    <t xml:space="preserve">GLP</t>
  </si>
  <si>
    <t xml:space="preserve">Basse-Terre</t>
  </si>
  <si>
    <t xml:space="preserve">Aland Islands</t>
  </si>
  <si>
    <t xml:space="preserve">AX</t>
  </si>
  <si>
    <t xml:space="preserve">ALA</t>
  </si>
  <si>
    <t xml:space="preserve">Mariehamn</t>
  </si>
  <si>
    <t xml:space="preserve">Faroe Islands</t>
  </si>
  <si>
    <t xml:space="preserve">FO</t>
  </si>
  <si>
    <t xml:space="preserve">FRO</t>
  </si>
  <si>
    <t xml:space="preserve">Torshavn</t>
  </si>
  <si>
    <t xml:space="preserve">Martinique</t>
  </si>
  <si>
    <t xml:space="preserve">MQ</t>
  </si>
  <si>
    <t xml:space="preserve">MTQ</t>
  </si>
  <si>
    <t xml:space="preserve">Fort-de-France</t>
  </si>
  <si>
    <t xml:space="preserve">Hong Kong</t>
  </si>
  <si>
    <t xml:space="preserve">HK</t>
  </si>
  <si>
    <t xml:space="preserve">HKG</t>
  </si>
  <si>
    <t xml:space="preserve">Sao Tome and Principe</t>
  </si>
  <si>
    <t xml:space="preserve">ST</t>
  </si>
  <si>
    <t xml:space="preserve">STP</t>
  </si>
  <si>
    <t xml:space="preserve">Sao Tome</t>
  </si>
  <si>
    <t xml:space="preserve">Netherlands Antilles</t>
  </si>
  <si>
    <t xml:space="preserve">ANT</t>
  </si>
  <si>
    <t xml:space="preserve">Willemstad</t>
  </si>
  <si>
    <t xml:space="preserve">Kiribati</t>
  </si>
  <si>
    <t xml:space="preserve">KI</t>
  </si>
  <si>
    <t xml:space="preserve">KIR</t>
  </si>
  <si>
    <t xml:space="preserve">Tarawa</t>
  </si>
  <si>
    <t xml:space="preserve">Dominica</t>
  </si>
  <si>
    <t xml:space="preserve">DM</t>
  </si>
  <si>
    <t xml:space="preserve">DMA</t>
  </si>
  <si>
    <t xml:space="preserve">Roseau</t>
  </si>
  <si>
    <t xml:space="preserve">Tonga</t>
  </si>
  <si>
    <t xml:space="preserve">TO</t>
  </si>
  <si>
    <t xml:space="preserve">TON</t>
  </si>
  <si>
    <t xml:space="preserve">Nuku'alofa</t>
  </si>
  <si>
    <t xml:space="preserve">Micronesia</t>
  </si>
  <si>
    <t xml:space="preserve">FM</t>
  </si>
  <si>
    <t xml:space="preserve">FSM</t>
  </si>
  <si>
    <t xml:space="preserve">Palikir</t>
  </si>
  <si>
    <t xml:space="preserve">Singapore</t>
  </si>
  <si>
    <t xml:space="preserve">SG</t>
  </si>
  <si>
    <t xml:space="preserve">SGP</t>
  </si>
  <si>
    <t xml:space="preserve">Bahrain</t>
  </si>
  <si>
    <t xml:space="preserve">BH</t>
  </si>
  <si>
    <t xml:space="preserve">BHR</t>
  </si>
  <si>
    <t xml:space="preserve">Manama</t>
  </si>
  <si>
    <t xml:space="preserve">Saint Lucia</t>
  </si>
  <si>
    <t xml:space="preserve">LC</t>
  </si>
  <si>
    <t xml:space="preserve">LCA</t>
  </si>
  <si>
    <t xml:space="preserve">Castries</t>
  </si>
  <si>
    <t xml:space="preserve">Isle of Man</t>
  </si>
  <si>
    <t xml:space="preserve">IM</t>
  </si>
  <si>
    <t xml:space="preserve">IMN</t>
  </si>
  <si>
    <t xml:space="preserve">Douglas</t>
  </si>
  <si>
    <t xml:space="preserve">Guam</t>
  </si>
  <si>
    <t xml:space="preserve">GU</t>
  </si>
  <si>
    <t xml:space="preserve">GUM</t>
  </si>
  <si>
    <t xml:space="preserve">Hagatna</t>
  </si>
  <si>
    <t xml:space="preserve">Northern Mariana Islands</t>
  </si>
  <si>
    <t xml:space="preserve">MP</t>
  </si>
  <si>
    <t xml:space="preserve">MNP</t>
  </si>
  <si>
    <t xml:space="preserve">Saipan</t>
  </si>
  <si>
    <t xml:space="preserve">Andorra</t>
  </si>
  <si>
    <t xml:space="preserve">AD</t>
  </si>
  <si>
    <t xml:space="preserve">AND</t>
  </si>
  <si>
    <t xml:space="preserve">Andorra la Vella</t>
  </si>
  <si>
    <t xml:space="preserve">Palau</t>
  </si>
  <si>
    <t xml:space="preserve">PW</t>
  </si>
  <si>
    <t xml:space="preserve">PLW</t>
  </si>
  <si>
    <t xml:space="preserve">Melekeok</t>
  </si>
  <si>
    <t xml:space="preserve">Seychelles</t>
  </si>
  <si>
    <t xml:space="preserve">SC</t>
  </si>
  <si>
    <t xml:space="preserve">SYC</t>
  </si>
  <si>
    <t xml:space="preserve">Victoria</t>
  </si>
  <si>
    <t xml:space="preserve">Curacao</t>
  </si>
  <si>
    <t xml:space="preserve">CW</t>
  </si>
  <si>
    <t xml:space="preserve">CUW</t>
  </si>
  <si>
    <t xml:space="preserve"> Willemstad</t>
  </si>
  <si>
    <t xml:space="preserve">Antigua and Barbuda</t>
  </si>
  <si>
    <t xml:space="preserve">AG</t>
  </si>
  <si>
    <t xml:space="preserve">ATG</t>
  </si>
  <si>
    <t xml:space="preserve">St. John's</t>
  </si>
  <si>
    <t xml:space="preserve">Barbados</t>
  </si>
  <si>
    <t xml:space="preserve">BB</t>
  </si>
  <si>
    <t xml:space="preserve">BRB</t>
  </si>
  <si>
    <t xml:space="preserve">Bridgetown</t>
  </si>
  <si>
    <t xml:space="preserve">Turks and Caicos Islands</t>
  </si>
  <si>
    <t xml:space="preserve">TC</t>
  </si>
  <si>
    <t xml:space="preserve">TCA</t>
  </si>
  <si>
    <t xml:space="preserve">Cockburn Town</t>
  </si>
  <si>
    <t xml:space="preserve">Heard Island and McDonald Islands</t>
  </si>
  <si>
    <t xml:space="preserve">HM</t>
  </si>
  <si>
    <t xml:space="preserve">HMD</t>
  </si>
  <si>
    <t xml:space="preserve">Saint Helena</t>
  </si>
  <si>
    <t xml:space="preserve">SH</t>
  </si>
  <si>
    <t xml:space="preserve">SHN</t>
  </si>
  <si>
    <t xml:space="preserve">Jamestown</t>
  </si>
  <si>
    <t xml:space="preserve">Saint Vincent and the Grenadines</t>
  </si>
  <si>
    <t xml:space="preserve">VC</t>
  </si>
  <si>
    <t xml:space="preserve">VCT</t>
  </si>
  <si>
    <t xml:space="preserve">Kingstown</t>
  </si>
  <si>
    <t xml:space="preserve">Mayotte</t>
  </si>
  <si>
    <t xml:space="preserve">YT</t>
  </si>
  <si>
    <t xml:space="preserve">MYT</t>
  </si>
  <si>
    <t xml:space="preserve">Mamoudzou</t>
  </si>
  <si>
    <t xml:space="preserve">U.S. Virgin Islands</t>
  </si>
  <si>
    <t xml:space="preserve">VI</t>
  </si>
  <si>
    <t xml:space="preserve">VIR</t>
  </si>
  <si>
    <t xml:space="preserve">Charlotte Amalie</t>
  </si>
  <si>
    <t xml:space="preserve">Grenada</t>
  </si>
  <si>
    <t xml:space="preserve">GD</t>
  </si>
  <si>
    <t xml:space="preserve">GRD</t>
  </si>
  <si>
    <t xml:space="preserve">St. George's</t>
  </si>
  <si>
    <t xml:space="preserve">Bonaire, Saint Eustatius and Saba </t>
  </si>
  <si>
    <t xml:space="preserve">BQ</t>
  </si>
  <si>
    <t xml:space="preserve">BES</t>
  </si>
  <si>
    <t xml:space="preserve">Malta</t>
  </si>
  <si>
    <t xml:space="preserve">MT</t>
  </si>
  <si>
    <t xml:space="preserve">MLT</t>
  </si>
  <si>
    <t xml:space="preserve">Valletta</t>
  </si>
  <si>
    <t xml:space="preserve">Maldives</t>
  </si>
  <si>
    <t xml:space="preserve">MV</t>
  </si>
  <si>
    <t xml:space="preserve">MDV</t>
  </si>
  <si>
    <t xml:space="preserve">Male</t>
  </si>
  <si>
    <t xml:space="preserve">Wallis and Futuna</t>
  </si>
  <si>
    <t xml:space="preserve">WF</t>
  </si>
  <si>
    <t xml:space="preserve">WLF</t>
  </si>
  <si>
    <t xml:space="preserve">Mata Utu</t>
  </si>
  <si>
    <t xml:space="preserve">Cayman Islands</t>
  </si>
  <si>
    <t xml:space="preserve">KY</t>
  </si>
  <si>
    <t xml:space="preserve">CYM</t>
  </si>
  <si>
    <t xml:space="preserve">George Town</t>
  </si>
  <si>
    <t xml:space="preserve">Saint Kitts and Nevis</t>
  </si>
  <si>
    <t xml:space="preserve">KN</t>
  </si>
  <si>
    <t xml:space="preserve">KNA</t>
  </si>
  <si>
    <t xml:space="preserve">Basseterre</t>
  </si>
  <si>
    <t xml:space="preserve">Niue</t>
  </si>
  <si>
    <t xml:space="preserve">NU</t>
  </si>
  <si>
    <t xml:space="preserve">NIU</t>
  </si>
  <si>
    <t xml:space="preserve">Alofi</t>
  </si>
  <si>
    <t xml:space="preserve">Macao</t>
  </si>
  <si>
    <t xml:space="preserve">MO</t>
  </si>
  <si>
    <t xml:space="preserve">MAC</t>
  </si>
  <si>
    <t xml:space="preserve">Saint Pierre and Miquelon</t>
  </si>
  <si>
    <t xml:space="preserve">PM</t>
  </si>
  <si>
    <t xml:space="preserve">SPM</t>
  </si>
  <si>
    <t xml:space="preserve">Saint-Pierre</t>
  </si>
  <si>
    <t xml:space="preserve">Cook Islands</t>
  </si>
  <si>
    <t xml:space="preserve">CK</t>
  </si>
  <si>
    <t xml:space="preserve">COK</t>
  </si>
  <si>
    <t xml:space="preserve">Avarua</t>
  </si>
  <si>
    <t xml:space="preserve">American Samoa</t>
  </si>
  <si>
    <t xml:space="preserve">ASM</t>
  </si>
  <si>
    <t xml:space="preserve">Pago Pago</t>
  </si>
  <si>
    <t xml:space="preserve">Aruba</t>
  </si>
  <si>
    <t xml:space="preserve">AW</t>
  </si>
  <si>
    <t xml:space="preserve">ABW</t>
  </si>
  <si>
    <t xml:space="preserve">Oranjestad</t>
  </si>
  <si>
    <t xml:space="preserve">Marshall Islands</t>
  </si>
  <si>
    <t xml:space="preserve">MH</t>
  </si>
  <si>
    <t xml:space="preserve">MHL</t>
  </si>
  <si>
    <t xml:space="preserve">Majuro</t>
  </si>
  <si>
    <t xml:space="preserve">Liechtenstein</t>
  </si>
  <si>
    <t xml:space="preserve">LI</t>
  </si>
  <si>
    <t xml:space="preserve">LIE</t>
  </si>
  <si>
    <t xml:space="preserve">Vaduz</t>
  </si>
  <si>
    <t xml:space="preserve">British Virgin Islands</t>
  </si>
  <si>
    <t xml:space="preserve">VG</t>
  </si>
  <si>
    <t xml:space="preserve">VGB</t>
  </si>
  <si>
    <t xml:space="preserve">Road Town</t>
  </si>
  <si>
    <t xml:space="preserve">Christmas Island</t>
  </si>
  <si>
    <t xml:space="preserve">CX</t>
  </si>
  <si>
    <t xml:space="preserve">CXR</t>
  </si>
  <si>
    <t xml:space="preserve">Flying Fish Cove</t>
  </si>
  <si>
    <t xml:space="preserve">Jersey</t>
  </si>
  <si>
    <t xml:space="preserve">JE</t>
  </si>
  <si>
    <t xml:space="preserve">JEY</t>
  </si>
  <si>
    <t xml:space="preserve">Saint Helier</t>
  </si>
  <si>
    <t xml:space="preserve">Anguilla</t>
  </si>
  <si>
    <t xml:space="preserve">AI</t>
  </si>
  <si>
    <t xml:space="preserve">AIA</t>
  </si>
  <si>
    <t xml:space="preserve">The Valley</t>
  </si>
  <si>
    <t xml:space="preserve">Montserrat</t>
  </si>
  <si>
    <t xml:space="preserve">MS</t>
  </si>
  <si>
    <t xml:space="preserve">MSR</t>
  </si>
  <si>
    <t xml:space="preserve">Plymouth</t>
  </si>
  <si>
    <t xml:space="preserve">Guernsey</t>
  </si>
  <si>
    <t xml:space="preserve">GG</t>
  </si>
  <si>
    <t xml:space="preserve">GGY</t>
  </si>
  <si>
    <t xml:space="preserve">St Peter Port</t>
  </si>
  <si>
    <t xml:space="preserve">San Marino</t>
  </si>
  <si>
    <t xml:space="preserve">SM</t>
  </si>
  <si>
    <t xml:space="preserve">SMR</t>
  </si>
  <si>
    <t xml:space="preserve">British Indian Ocean Territory</t>
  </si>
  <si>
    <t xml:space="preserve">IO</t>
  </si>
  <si>
    <t xml:space="preserve">IOT</t>
  </si>
  <si>
    <t xml:space="preserve">Diego Garcia</t>
  </si>
  <si>
    <t xml:space="preserve">Bermuda</t>
  </si>
  <si>
    <t xml:space="preserve">BM</t>
  </si>
  <si>
    <t xml:space="preserve">BMU</t>
  </si>
  <si>
    <t xml:space="preserve">Hamilton</t>
  </si>
  <si>
    <t xml:space="preserve">Saint Martin</t>
  </si>
  <si>
    <t xml:space="preserve">MF</t>
  </si>
  <si>
    <t xml:space="preserve">MAF</t>
  </si>
  <si>
    <t xml:space="preserve">Marigot</t>
  </si>
  <si>
    <t xml:space="preserve">Bouvet Island</t>
  </si>
  <si>
    <t xml:space="preserve">BV</t>
  </si>
  <si>
    <t xml:space="preserve">BVT</t>
  </si>
  <si>
    <t xml:space="preserve">Pitcairn</t>
  </si>
  <si>
    <t xml:space="preserve">PN</t>
  </si>
  <si>
    <t xml:space="preserve">PCN</t>
  </si>
  <si>
    <t xml:space="preserve">Adamstown</t>
  </si>
  <si>
    <t xml:space="preserve">Norfolk Island</t>
  </si>
  <si>
    <t xml:space="preserve">NF</t>
  </si>
  <si>
    <t xml:space="preserve">NFK</t>
  </si>
  <si>
    <t xml:space="preserve">Tuvalu</t>
  </si>
  <si>
    <t xml:space="preserve">TV</t>
  </si>
  <si>
    <t xml:space="preserve">TUV</t>
  </si>
  <si>
    <t xml:space="preserve">Funafuti</t>
  </si>
  <si>
    <t xml:space="preserve">Saint Barthelemy</t>
  </si>
  <si>
    <t xml:space="preserve">BL</t>
  </si>
  <si>
    <t xml:space="preserve">BLM</t>
  </si>
  <si>
    <t xml:space="preserve">Gustavia</t>
  </si>
  <si>
    <t xml:space="preserve">Nauru</t>
  </si>
  <si>
    <t xml:space="preserve">NR</t>
  </si>
  <si>
    <t xml:space="preserve">NRU</t>
  </si>
  <si>
    <t xml:space="preserve">Yaren</t>
  </si>
  <si>
    <t xml:space="preserve">Sint Maarten</t>
  </si>
  <si>
    <t xml:space="preserve">SX</t>
  </si>
  <si>
    <t xml:space="preserve">SXM</t>
  </si>
  <si>
    <t xml:space="preserve">Philipsburg</t>
  </si>
  <si>
    <t xml:space="preserve">Cocos Islands</t>
  </si>
  <si>
    <t xml:space="preserve">CC</t>
  </si>
  <si>
    <t xml:space="preserve">CCK</t>
  </si>
  <si>
    <t xml:space="preserve">West Island</t>
  </si>
  <si>
    <t xml:space="preserve">Tokelau</t>
  </si>
  <si>
    <t xml:space="preserve">TK</t>
  </si>
  <si>
    <t xml:space="preserve">TKL</t>
  </si>
  <si>
    <t xml:space="preserve">Gibraltar</t>
  </si>
  <si>
    <t xml:space="preserve">GI</t>
  </si>
  <si>
    <t xml:space="preserve">GIB</t>
  </si>
  <si>
    <t xml:space="preserve">Monaco</t>
  </si>
  <si>
    <t xml:space="preserve">MC</t>
  </si>
  <si>
    <t xml:space="preserve">MCO</t>
  </si>
  <si>
    <t xml:space="preserve">United States Minor Outlying Islands</t>
  </si>
  <si>
    <t xml:space="preserve">UM</t>
  </si>
  <si>
    <t xml:space="preserve">UMI</t>
  </si>
  <si>
    <t xml:space="preserve">Vatican</t>
  </si>
  <si>
    <t xml:space="preserve">VA</t>
  </si>
  <si>
    <t xml:space="preserve">VAT</t>
  </si>
  <si>
    <t xml:space="preserve">Vatican City</t>
  </si>
  <si>
    <t xml:space="preserve">Area and population are real GeoNames figures. 'Quota: area term' is only the FIRST of the three quota terms. The other two — kinds of place present, and globally-adjudicated assets — require the asset layer, so no country quota can be computed yet.</t>
  </si>
  <si>
    <t xml:space="preserve">parameter</t>
  </si>
  <si>
    <t xml:space="preserve">value</t>
  </si>
  <si>
    <t xml:space="preserve">why it is this value</t>
  </si>
  <si>
    <t xml:space="preserve">delta</t>
  </si>
  <si>
    <t xml:space="preserve">Discount inside each asset tier. Each tier saturates at 20x its own weight, so the 40th church stops counting while a World Heritage inscription always counts fully.</t>
  </si>
  <si>
    <t xml:space="preserve">power</t>
  </si>
  <si>
    <t xml:space="preserve">Exponent of the power mean over the three pillars. Above 1 it leans toward the maximum, so a place outstanding at one thing is not beaten by one adequate at three.</t>
  </si>
  <si>
    <t xml:space="preserve">beta</t>
  </si>
  <si>
    <t xml:space="preserve">Distinctiveness amplitude. Ships at zero: every positive value scored worse, including on the places it was designed to rescue.</t>
  </si>
  <si>
    <t xml:space="preserve">coherence</t>
  </si>
  <si>
    <t xml:space="preserve">Bonus for spatially concentrated heritage. An intact quarter beats the same monuments scattered across a metropolitan area.</t>
  </si>
  <si>
    <t xml:space="preserve">w_h</t>
  </si>
  <si>
    <t xml:space="preserve">Built heritage weight.</t>
  </si>
  <si>
    <t xml:space="preserve">w_n</t>
  </si>
  <si>
    <t xml:space="preserve">Natural setting weight.</t>
  </si>
  <si>
    <t xml:space="preserve">w_l</t>
  </si>
  <si>
    <t xml:space="preserve">Living culture weight.</t>
  </si>
  <si>
    <t xml:space="preserve">lam_red</t>
  </si>
  <si>
    <t xml:space="preserve">Novelty penalty coefficient in selection.</t>
  </si>
  <si>
    <t xml:space="preserve">quality_relief</t>
  </si>
  <si>
    <t xml:space="preserve">Share of the novelty penalty waived for a candidate at the top of its country, so a world-class second-of-a-kind stays selectable.</t>
  </si>
  <si>
    <t xml:space="preserve">coverage_decay</t>
  </si>
  <si>
    <t xml:space="preserve">How fast a kind of place loses marginal value once the selection covers it. The second coastal town is worth half the first.</t>
  </si>
  <si>
    <t xml:space="preserve">catchment_km</t>
  </si>
  <si>
    <t xml:space="preserve">Assets within this radius belong to their nearest candidate.</t>
  </si>
  <si>
    <t xml:space="preserve">absorb_similarity</t>
  </si>
  <si>
    <t xml:space="preserve">A site is absorbed into a nearby settlement only above this similarity. Below it the site stays its own place.</t>
  </si>
  <si>
    <t xml:space="preserve">pin_spacing_km</t>
  </si>
  <si>
    <t xml:space="preserve">Physical floor between two drilled holes at map scale.</t>
  </si>
  <si>
    <t xml:space="preserve">spacing_density_coef</t>
  </si>
  <si>
    <t xml:space="preserve">Spacing follows pin density rather than raw area.</t>
  </si>
  <si>
    <t xml:space="preserve">hole_budget</t>
  </si>
  <si>
    <t xml:space="preserve">Total holes on the printed map. Does not bound the web application.</t>
  </si>
  <si>
    <t xml:space="preserve">quota_area</t>
  </si>
  <si>
    <t xml:space="preserve">Weight on the area term.</t>
  </si>
  <si>
    <t xml:space="preserve">quota_archetypes</t>
  </si>
  <si>
    <t xml:space="preserve">Weight on the kinds-present term.</t>
  </si>
  <si>
    <t xml:space="preserve">quota_global</t>
  </si>
  <si>
    <t xml:space="preserve">Weight on the globally-adjudicated asset term.</t>
  </si>
  <si>
    <t xml:space="preserve">quota_area_ref_km2</t>
  </si>
  <si>
    <t xml:space="preserve">Reference area in the quota log term.</t>
  </si>
  <si>
    <t xml:space="preserve">quota_min</t>
  </si>
  <si>
    <t xml:space="preserve">Every sovereign country receives at least this many holes.</t>
  </si>
  <si>
    <t xml:space="preserve">quota_max</t>
  </si>
  <si>
    <t xml:space="preserve">Ceiling per country.</t>
  </si>
  <si>
    <t xml:space="preserve">quota_small_country_floor</t>
  </si>
  <si>
    <t xml:space="preserve">Floor for a small country rich in kinds of place.</t>
  </si>
  <si>
    <t xml:space="preserve">small_country_archetypes</t>
  </si>
  <si>
    <t xml:space="preserve">Kinds a small country must reach to earn that floor.</t>
  </si>
  <si>
    <t xml:space="preserve">score_floor</t>
  </si>
  <si>
    <t xml:space="preserve">Minimum score, relative to the country best, to enter the web application.</t>
  </si>
  <si>
    <t xml:space="preserve">rarity_country_cap</t>
  </si>
  <si>
    <t xml:space="preserve">Ceiling on a landform's rarity weight when the country holds only one instance.</t>
  </si>
  <si>
    <t xml:space="preserve">PRINTED MAP</t>
  </si>
  <si>
    <t xml:space="preserve">scale denominator</t>
  </si>
  <si>
    <t xml:space="preserve">1 : 13,358,339</t>
  </si>
  <si>
    <t xml:space="preserve">3.00 m across the equator</t>
  </si>
  <si>
    <t xml:space="preserve">ground per mm</t>
  </si>
  <si>
    <t xml:space="preserve">13.36 km</t>
  </si>
  <si>
    <t xml:space="preserve">From the scale</t>
  </si>
  <si>
    <t xml:space="preserve">minimum hole spacing</t>
  </si>
  <si>
    <t xml:space="preserve">60.1 km</t>
  </si>
  <si>
    <t xml:space="preserve">Pin head plus drilling tolerance</t>
  </si>
  <si>
    <t xml:space="preserve">minimum tile extent</t>
  </si>
  <si>
    <t xml:space="preserve">160.3 km</t>
  </si>
  <si>
    <t xml:space="preserve">Handling and magnet seating</t>
  </si>
  <si>
    <t xml:space="preserve">These were tuned jointly against ground truth frozen before the model ran. They interact: linear normalisation alone makes results WORSE and only pays off once the discount is applied within tiers. Retune the set or none of it.</t>
  </si>
  <si>
    <t xml:space="preserve">#</t>
  </si>
  <si>
    <t xml:space="preserve">source</t>
  </si>
  <si>
    <t xml:space="preserve">what it supplies</t>
  </si>
  <si>
    <t xml:space="preserve">how</t>
  </si>
  <si>
    <t xml:space="preserve">licence</t>
  </si>
  <si>
    <t xml:space="preserve">UNESCO World Heritage</t>
  </si>
  <si>
    <t xml:space="preserve">Built heritage and natural setting, and the quota's cross-country term</t>
  </si>
  <si>
    <t xml:space="preserve">Scripted download</t>
  </si>
  <si>
    <t xml:space="preserve">Open, attribution</t>
  </si>
  <si>
    <t xml:space="preserve">Wikidata</t>
  </si>
  <si>
    <t xml:space="preserve">Heritage items, festivals, pilgrimage sites, historic capitals, significance</t>
  </si>
  <si>
    <t xml:space="preserve">Scripted (SPARQL)</t>
  </si>
  <si>
    <t xml:space="preserve">CC0</t>
  </si>
  <si>
    <t xml:space="preserve">OpenStreetMap</t>
  </si>
  <si>
    <t xml:space="preserve">The long tail: minor heritage, museums, markets, craft, lodging</t>
  </si>
  <si>
    <t xml:space="preserve">Scripted (Overpass)</t>
  </si>
  <si>
    <t xml:space="preserve">ODbL — share-alike</t>
  </si>
  <si>
    <t xml:space="preserve">GHS Urban Centre Database</t>
  </si>
  <si>
    <t xml:space="preserve">Settlement candidates and population</t>
  </si>
  <si>
    <t xml:space="preserve">MANUAL download</t>
  </si>
  <si>
    <t xml:space="preserve">CC-BY</t>
  </si>
  <si>
    <t xml:space="preserve">Protected Planet (WDPA)</t>
  </si>
  <si>
    <t xml:space="preserve">Protected areas by IUCN category</t>
  </si>
  <si>
    <t xml:space="preserve">Non-commercial by default</t>
  </si>
  <si>
    <t xml:space="preserve">UNESCO Intangible Heritage</t>
  </si>
  <si>
    <t xml:space="preserve">Living culture, georeferenced to practising regions</t>
  </si>
  <si>
    <t xml:space="preserve">MANUAL — needs geolocating</t>
  </si>
  <si>
    <t xml:space="preserve">Cuisine regions</t>
  </si>
  <si>
    <t xml:space="preserve">Regional cuisine</t>
  </si>
  <si>
    <t xml:space="preserve">Compiled to the record standard</t>
  </si>
  <si>
    <t xml:space="preserve">Own work</t>
  </si>
  <si>
    <t xml:space="preserve">THEN RUN</t>
  </si>
  <si>
    <t xml:space="preserve">pip install -e ".[dev]"</t>
  </si>
  <si>
    <t xml:space="preserve">Install the pipeline</t>
  </si>
  <si>
    <t xml:space="preserve">pytest</t>
  </si>
  <si>
    <t xml:space="preserve">Confirm 31 tests still pass on your machine</t>
  </si>
  <si>
    <t xml:space="preserve">twm sources</t>
  </si>
  <si>
    <t xml:space="preserve">Check every adapter's licence and whether it may cross a border</t>
  </si>
  <si>
    <t xml:space="preserve">twm build --config world.json --out dist</t>
  </si>
  <si>
    <t xml:space="preserve">Build the database</t>
  </si>
  <si>
    <t xml:space="preserve">twm inspect --country Morocco</t>
  </si>
  <si>
    <t xml:space="preserve">Read back a country you know well — the real check</t>
  </si>
  <si>
    <t xml:space="preserve">twm conflicts</t>
  </si>
  <si>
    <t xml:space="preserve">List the places too close to both be holes: the inset panel list</t>
  </si>
  <si>
    <t xml:space="preserve">Expect 50,000–70,000 candidates worldwide, of which 15,000–25,000 become places in the web application and 3,000 reach the printed map. The three scripted sources are rate-limited and polite by design; a full world build is an overnight job, not a coffee break.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</si>
</sst>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F4E5F"/>
      <name val="Arial"/>
      <family val="0"/>
      <charset val="1"/>
    </font>
    <font>
      <sz val="11"/>
      <color rgb="FF5A6B75"/>
      <name val="Arial"/>
      <family val="0"/>
      <charset val="1"/>
    </font>
    <font>
      <b val="true"/>
      <sz val="10"/>
      <color rgb="FF8C6D3F"/>
      <name val="Arial"/>
      <family val="0"/>
      <charset val="1"/>
    </font>
    <font>
      <b val="true"/>
      <sz val="10"/>
      <color rgb="FF24343B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B7780"/>
      <name val="Arial"/>
      <family val="0"/>
      <charset val="1"/>
    </font>
    <font>
      <b val="true"/>
      <sz val="10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F4EE"/>
        <bgColor rgb="FFF2F6F7"/>
      </patternFill>
    </fill>
    <fill>
      <patternFill patternType="solid">
        <fgColor rgb="FFFBF3E2"/>
        <bgColor rgb="FFEDF4EE"/>
      </patternFill>
    </fill>
    <fill>
      <patternFill patternType="solid">
        <fgColor rgb="FF1F4E5F"/>
        <bgColor rgb="FF24343B"/>
      </patternFill>
    </fill>
    <fill>
      <patternFill patternType="solid">
        <fgColor rgb="FFF2F6F7"/>
        <bgColor rgb="FFEDF4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4"/>
      </left>
      <right style="thin">
        <color rgb="FFC9CFD4"/>
      </right>
      <top style="thin">
        <color rgb="FFC9CFD4"/>
      </top>
      <bottom style="thin">
        <color rgb="FFC9CF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5F"/>
          <bgColor rgb="FF000000"/>
        </patternFill>
      </fill>
    </dxf>
    <dxf>
      <fill>
        <patternFill patternType="solid">
          <fgColor rgb="FFF2F6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C6D3F"/>
          <bgColor rgb="FF000000"/>
        </patternFill>
      </fill>
    </dxf>
    <dxf>
      <fill>
        <patternFill patternType="solid">
          <fgColor rgb="FFFBF3E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6D3F"/>
      <rgbColor rgb="FF800080"/>
      <rgbColor rgb="FF008080"/>
      <rgbColor rgb="FFC9CFD4"/>
      <rgbColor rgb="FF6B7780"/>
      <rgbColor rgb="FF9999FF"/>
      <rgbColor rgb="FF993366"/>
      <rgbColor rgb="FFFBF3E2"/>
      <rgbColor rgb="FFEDF4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243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true"/>
  </sheetPr>
  <dimension ref="B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88"/>
  </cols>
  <sheetData>
    <row r="1" customFormat="false" ht="20.9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6" t="s">
        <v>5</v>
      </c>
      <c r="C6" s="7" t="s">
        <v>6</v>
      </c>
    </row>
    <row r="7" customFormat="false" ht="23.85" hidden="false" customHeight="false" outlineLevel="0" collapsed="false">
      <c r="B7" s="8" t="s">
        <v>7</v>
      </c>
      <c r="C7" s="9" t="s">
        <v>8</v>
      </c>
    </row>
    <row r="9" customFormat="false" ht="15" hidden="false" customHeight="false" outlineLevel="0" collapsed="false">
      <c r="B9" s="3" t="s">
        <v>9</v>
      </c>
    </row>
    <row r="10" customFormat="false" ht="15" hidden="false" customHeight="false" outlineLevel="0" collapsed="false">
      <c r="B10" s="8" t="s">
        <v>10</v>
      </c>
      <c r="C10" s="9" t="str">
        <f aca="false">"Real scored output for 5 countries: "&amp;COUNTA('Places (pilot)'!B2:B157)&amp;" candidates, "&amp;COUNTIF('Places (pilot)'!L2:L157,TRUE())&amp;" reach the printed map. Genuine model output."</f>
        <v>Real scored output for 5 countries: 156 candidates, 77 reach the printed map. Genuine model output.</v>
      </c>
    </row>
    <row r="11" customFormat="false" ht="23.85" hidden="false" customHeight="false" outlineLevel="0" collapsed="false">
      <c r="B11" s="8" t="s">
        <v>11</v>
      </c>
      <c r="C11" s="9" t="s">
        <v>12</v>
      </c>
    </row>
    <row r="12" customFormat="false" ht="23.85" hidden="false" customHeight="false" outlineLevel="0" collapsed="false">
      <c r="B12" s="8" t="s">
        <v>13</v>
      </c>
      <c r="C12" s="9" t="str">
        <f aca="false">"Shipped separately as world_settlements.csv: "&amp;TEXT(SUM(Countries!H2:H253),"#,##0")&amp;" real settlements across "&amp;COUNTIF(Countries!H2:H253,"&gt;0")&amp;" countries. Pipeline INPUT, and too many rows to review in a sheet."</f>
        <v>Shipped separately as world_settlements.csv: 33,980 real settlements across 225 countries. Pipeline INPUT, and too many rows to review in a sheet.</v>
      </c>
    </row>
    <row r="13" customFormat="false" ht="15" hidden="false" customHeight="false" outlineLevel="0" collapsed="false">
      <c r="B13" s="8" t="s">
        <v>14</v>
      </c>
      <c r="C13" s="9" t="str">
        <f aca="false">"Real areas and populations for "&amp;COUNTA(Countries!A2:A253)&amp;" countries — the quota formula's inputs."</f>
        <v>Real areas and populations for 252 countries — the quota formula's inputs.</v>
      </c>
    </row>
    <row r="14" customFormat="false" ht="15" hidden="false" customHeight="false" outlineLevel="0" collapsed="false">
      <c r="B14" s="8" t="s">
        <v>15</v>
      </c>
      <c r="C14" s="9" t="s">
        <v>16</v>
      </c>
    </row>
    <row r="15" customFormat="false" ht="15" hidden="false" customHeight="false" outlineLevel="0" collapsed="false">
      <c r="B15" s="8" t="s">
        <v>17</v>
      </c>
      <c r="C15" s="9" t="s">
        <v>18</v>
      </c>
    </row>
    <row r="17" customFormat="false" ht="15" hidden="false" customHeight="false" outlineLevel="0" collapsed="false">
      <c r="B17" s="3" t="s">
        <v>19</v>
      </c>
    </row>
    <row r="18" customFormat="false" ht="46.25" hidden="false" customHeight="false" outlineLevel="0" collapsed="false">
      <c r="B18" s="6" t="s">
        <v>20</v>
      </c>
      <c r="C18" s="10" t="s">
        <v>21</v>
      </c>
    </row>
    <row r="19" customFormat="false" ht="35.05" hidden="false" customHeight="false" outlineLevel="0" collapsed="false">
      <c r="B19" s="8" t="s">
        <v>22</v>
      </c>
      <c r="C19" s="9" t="s">
        <v>23</v>
      </c>
    </row>
    <row r="21" customFormat="false" ht="15" hidden="false" customHeight="false" outlineLevel="0" collapsed="false">
      <c r="B21" s="3" t="s">
        <v>24</v>
      </c>
    </row>
    <row r="22" customFormat="false" ht="23.85" hidden="false" customHeight="false" outlineLevel="0" collapsed="false">
      <c r="B22" s="8" t="s">
        <v>25</v>
      </c>
      <c r="C22" s="9" t="s">
        <v>26</v>
      </c>
    </row>
    <row r="23" customFormat="false" ht="23.85" hidden="false" customHeight="false" outlineLevel="0" collapsed="false">
      <c r="B23" s="8" t="s">
        <v>27</v>
      </c>
      <c r="C23" s="9" t="s">
        <v>28</v>
      </c>
    </row>
    <row r="24" customFormat="false" ht="15" hidden="false" customHeight="false" outlineLevel="0" collapsed="false">
      <c r="B24" s="8" t="s">
        <v>29</v>
      </c>
      <c r="C24" s="9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true"/>
  </sheetPr>
  <dimension ref="A1:O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0" min="10" style="0" width="11"/>
    <col collapsed="false" customWidth="true" hidden="false" outlineLevel="0" max="11" min="11" style="0" width="44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6"/>
  </cols>
  <sheetData>
    <row r="1" customFormat="false" ht="27.75" hidden="false" customHeight="true" outlineLevel="0" collapsed="false">
      <c r="A1" s="11" t="s">
        <v>31</v>
      </c>
      <c r="B1" s="11" t="s">
        <v>32</v>
      </c>
      <c r="C1" s="11" t="s">
        <v>33</v>
      </c>
      <c r="D1" s="11" t="s">
        <v>34</v>
      </c>
      <c r="E1" s="11" t="s">
        <v>35</v>
      </c>
      <c r="F1" s="11" t="s">
        <v>36</v>
      </c>
      <c r="G1" s="11" t="s">
        <v>37</v>
      </c>
      <c r="H1" s="11" t="s">
        <v>38</v>
      </c>
      <c r="I1" s="11" t="s">
        <v>39</v>
      </c>
      <c r="J1" s="11" t="s">
        <v>40</v>
      </c>
      <c r="K1" s="11" t="s">
        <v>41</v>
      </c>
      <c r="L1" s="11" t="s">
        <v>42</v>
      </c>
      <c r="M1" s="11" t="s">
        <v>43</v>
      </c>
      <c r="N1" s="11" t="s">
        <v>44</v>
      </c>
      <c r="O1" s="11" t="s">
        <v>45</v>
      </c>
    </row>
    <row r="2" customFormat="false" ht="15" hidden="false" customHeight="false" outlineLevel="0" collapsed="false">
      <c r="A2" s="12" t="s">
        <v>46</v>
      </c>
      <c r="B2" s="13" t="s">
        <v>47</v>
      </c>
      <c r="C2" s="12" t="s">
        <v>48</v>
      </c>
      <c r="D2" s="12" t="n">
        <v>34.065</v>
      </c>
      <c r="E2" s="12" t="n">
        <v>-4.978</v>
      </c>
      <c r="F2" s="14" t="n">
        <v>100</v>
      </c>
      <c r="G2" s="14" t="n">
        <v>1</v>
      </c>
      <c r="H2" s="14" t="n">
        <v>0.102</v>
      </c>
      <c r="I2" s="14" t="n">
        <v>1</v>
      </c>
      <c r="J2" s="14" t="n">
        <v>0.85</v>
      </c>
      <c r="K2" s="12" t="s">
        <v>49</v>
      </c>
      <c r="L2" s="15" t="b">
        <f aca="false">TRUE()</f>
        <v>1</v>
      </c>
      <c r="M2" s="12" t="n">
        <v>1</v>
      </c>
      <c r="N2" s="12" t="n">
        <v>1</v>
      </c>
      <c r="O2" s="12"/>
    </row>
    <row r="3" customFormat="false" ht="15" hidden="false" customHeight="false" outlineLevel="0" collapsed="false">
      <c r="A3" s="16" t="s">
        <v>46</v>
      </c>
      <c r="B3" s="16" t="s">
        <v>50</v>
      </c>
      <c r="C3" s="16" t="s">
        <v>48</v>
      </c>
      <c r="D3" s="16" t="n">
        <v>31.63</v>
      </c>
      <c r="E3" s="16" t="n">
        <v>-8.008</v>
      </c>
      <c r="F3" s="17" t="n">
        <v>92</v>
      </c>
      <c r="G3" s="17" t="n">
        <v>0.928</v>
      </c>
      <c r="H3" s="17" t="n">
        <v>0.091</v>
      </c>
      <c r="I3" s="17" t="n">
        <v>0.915</v>
      </c>
      <c r="J3" s="17" t="n">
        <v>0.85</v>
      </c>
      <c r="K3" s="16" t="s">
        <v>51</v>
      </c>
      <c r="L3" s="18" t="b">
        <f aca="false">FALSE()</f>
        <v>0</v>
      </c>
      <c r="M3" s="16"/>
      <c r="N3" s="16" t="n">
        <v>1</v>
      </c>
      <c r="O3" s="16"/>
    </row>
    <row r="4" customFormat="false" ht="15" hidden="false" customHeight="false" outlineLevel="0" collapsed="false">
      <c r="A4" s="12" t="s">
        <v>46</v>
      </c>
      <c r="B4" s="13" t="s">
        <v>52</v>
      </c>
      <c r="C4" s="12" t="s">
        <v>48</v>
      </c>
      <c r="D4" s="12" t="n">
        <v>30.427</v>
      </c>
      <c r="E4" s="12" t="n">
        <v>-9.598</v>
      </c>
      <c r="F4" s="14" t="n">
        <v>92</v>
      </c>
      <c r="G4" s="14" t="n">
        <v>0.133</v>
      </c>
      <c r="H4" s="14" t="n">
        <v>0.982</v>
      </c>
      <c r="I4" s="14" t="n">
        <v>0.388</v>
      </c>
      <c r="J4" s="14" t="n">
        <v>1</v>
      </c>
      <c r="K4" s="12" t="s">
        <v>53</v>
      </c>
      <c r="L4" s="15" t="b">
        <f aca="false">TRUE()</f>
        <v>1</v>
      </c>
      <c r="M4" s="12" t="n">
        <v>2</v>
      </c>
      <c r="N4" s="12" t="n">
        <v>0</v>
      </c>
      <c r="O4" s="12" t="s">
        <v>54</v>
      </c>
    </row>
    <row r="5" customFormat="false" ht="15" hidden="false" customHeight="false" outlineLevel="0" collapsed="false">
      <c r="A5" s="16" t="s">
        <v>46</v>
      </c>
      <c r="B5" s="16" t="s">
        <v>55</v>
      </c>
      <c r="C5" s="16" t="s">
        <v>48</v>
      </c>
      <c r="D5" s="16" t="n">
        <v>33.895</v>
      </c>
      <c r="E5" s="16" t="n">
        <v>-5.554</v>
      </c>
      <c r="F5" s="17" t="n">
        <v>91</v>
      </c>
      <c r="G5" s="17" t="n">
        <v>0.965</v>
      </c>
      <c r="H5" s="17" t="n">
        <v>0.096</v>
      </c>
      <c r="I5" s="17" t="n">
        <v>0.549</v>
      </c>
      <c r="J5" s="17" t="n">
        <v>1</v>
      </c>
      <c r="K5" s="16" t="s">
        <v>56</v>
      </c>
      <c r="L5" s="18" t="b">
        <f aca="false">FALSE()</f>
        <v>0</v>
      </c>
      <c r="M5" s="16"/>
      <c r="N5" s="16" t="n">
        <v>2</v>
      </c>
      <c r="O5" s="16" t="s">
        <v>57</v>
      </c>
    </row>
    <row r="6" customFormat="false" ht="15" hidden="false" customHeight="false" outlineLevel="0" collapsed="false">
      <c r="A6" s="12" t="s">
        <v>46</v>
      </c>
      <c r="B6" s="13" t="s">
        <v>58</v>
      </c>
      <c r="C6" s="12" t="s">
        <v>59</v>
      </c>
      <c r="D6" s="12" t="n">
        <v>31.139</v>
      </c>
      <c r="E6" s="12" t="n">
        <v>-7.919</v>
      </c>
      <c r="F6" s="14" t="n">
        <v>83</v>
      </c>
      <c r="G6" s="14" t="n">
        <v>0.037</v>
      </c>
      <c r="H6" s="14" t="n">
        <v>1</v>
      </c>
      <c r="I6" s="14" t="n">
        <v>0.393</v>
      </c>
      <c r="J6" s="14" t="n">
        <v>0.9</v>
      </c>
      <c r="K6" s="12" t="s">
        <v>60</v>
      </c>
      <c r="L6" s="15" t="b">
        <f aca="false">TRUE()</f>
        <v>1</v>
      </c>
      <c r="M6" s="12" t="n">
        <v>3</v>
      </c>
      <c r="N6" s="12" t="n">
        <v>0</v>
      </c>
      <c r="O6" s="12"/>
    </row>
    <row r="7" customFormat="false" ht="15" hidden="false" customHeight="false" outlineLevel="0" collapsed="false">
      <c r="A7" s="16" t="s">
        <v>46</v>
      </c>
      <c r="B7" s="19" t="s">
        <v>61</v>
      </c>
      <c r="C7" s="16" t="s">
        <v>48</v>
      </c>
      <c r="D7" s="16" t="n">
        <v>31.513</v>
      </c>
      <c r="E7" s="16" t="n">
        <v>-9.77</v>
      </c>
      <c r="F7" s="17" t="n">
        <v>81</v>
      </c>
      <c r="G7" s="17" t="n">
        <v>0.501</v>
      </c>
      <c r="H7" s="17" t="n">
        <v>0.461</v>
      </c>
      <c r="I7" s="17" t="n">
        <v>0.68</v>
      </c>
      <c r="J7" s="17" t="n">
        <v>1</v>
      </c>
      <c r="K7" s="16" t="s">
        <v>62</v>
      </c>
      <c r="L7" s="18" t="b">
        <f aca="false">TRUE()</f>
        <v>1</v>
      </c>
      <c r="M7" s="16" t="n">
        <v>5</v>
      </c>
      <c r="N7" s="16" t="n">
        <v>1</v>
      </c>
      <c r="O7" s="16"/>
    </row>
    <row r="8" customFormat="false" ht="15" hidden="false" customHeight="false" outlineLevel="0" collapsed="false">
      <c r="A8" s="12" t="s">
        <v>46</v>
      </c>
      <c r="B8" s="13" t="s">
        <v>63</v>
      </c>
      <c r="C8" s="12" t="s">
        <v>48</v>
      </c>
      <c r="D8" s="12" t="n">
        <v>33.435</v>
      </c>
      <c r="E8" s="12" t="n">
        <v>-5.221</v>
      </c>
      <c r="F8" s="14" t="n">
        <v>72</v>
      </c>
      <c r="G8" s="14" t="n">
        <v>0.112</v>
      </c>
      <c r="H8" s="14" t="n">
        <v>0.702</v>
      </c>
      <c r="I8" s="14" t="n">
        <v>0.442</v>
      </c>
      <c r="J8" s="14" t="n">
        <v>1</v>
      </c>
      <c r="K8" s="12" t="s">
        <v>64</v>
      </c>
      <c r="L8" s="15" t="b">
        <f aca="false">TRUE()</f>
        <v>1</v>
      </c>
      <c r="M8" s="12" t="n">
        <v>16</v>
      </c>
      <c r="N8" s="12" t="n">
        <v>0</v>
      </c>
      <c r="O8" s="12"/>
    </row>
    <row r="9" customFormat="false" ht="15" hidden="false" customHeight="false" outlineLevel="0" collapsed="false">
      <c r="A9" s="16" t="s">
        <v>46</v>
      </c>
      <c r="B9" s="19" t="s">
        <v>65</v>
      </c>
      <c r="C9" s="16" t="s">
        <v>48</v>
      </c>
      <c r="D9" s="16" t="n">
        <v>34.02</v>
      </c>
      <c r="E9" s="16" t="n">
        <v>-6.841</v>
      </c>
      <c r="F9" s="17" t="n">
        <v>71</v>
      </c>
      <c r="G9" s="17" t="n">
        <v>0.732</v>
      </c>
      <c r="H9" s="17" t="n">
        <v>0.145</v>
      </c>
      <c r="I9" s="17" t="n">
        <v>0.456</v>
      </c>
      <c r="J9" s="17" t="n">
        <v>1</v>
      </c>
      <c r="K9" s="16" t="s">
        <v>66</v>
      </c>
      <c r="L9" s="18" t="b">
        <f aca="false">TRUE()</f>
        <v>1</v>
      </c>
      <c r="M9" s="16" t="n">
        <v>7</v>
      </c>
      <c r="N9" s="16" t="n">
        <v>1</v>
      </c>
      <c r="O9" s="16"/>
    </row>
    <row r="10" customFormat="false" ht="15" hidden="false" customHeight="false" outlineLevel="0" collapsed="false">
      <c r="A10" s="12" t="s">
        <v>46</v>
      </c>
      <c r="B10" s="13" t="s">
        <v>67</v>
      </c>
      <c r="C10" s="12" t="s">
        <v>48</v>
      </c>
      <c r="D10" s="12" t="n">
        <v>31.515</v>
      </c>
      <c r="E10" s="12" t="n">
        <v>-5.533</v>
      </c>
      <c r="F10" s="14" t="n">
        <v>66</v>
      </c>
      <c r="G10" s="14" t="n">
        <v>0.098</v>
      </c>
      <c r="H10" s="14" t="n">
        <v>1</v>
      </c>
      <c r="I10" s="14" t="n">
        <v>0.442</v>
      </c>
      <c r="J10" s="14" t="n">
        <v>0.7</v>
      </c>
      <c r="K10" s="12" t="s">
        <v>68</v>
      </c>
      <c r="L10" s="15" t="b">
        <f aca="false">TRUE()</f>
        <v>1</v>
      </c>
      <c r="M10" s="12" t="n">
        <v>4</v>
      </c>
      <c r="N10" s="12" t="n">
        <v>0</v>
      </c>
      <c r="O10" s="12"/>
    </row>
    <row r="11" customFormat="false" ht="15" hidden="false" customHeight="false" outlineLevel="0" collapsed="false">
      <c r="A11" s="16" t="s">
        <v>46</v>
      </c>
      <c r="B11" s="19" t="s">
        <v>69</v>
      </c>
      <c r="C11" s="16" t="s">
        <v>48</v>
      </c>
      <c r="D11" s="16" t="n">
        <v>35.577</v>
      </c>
      <c r="E11" s="16" t="n">
        <v>-5.368</v>
      </c>
      <c r="F11" s="17" t="n">
        <v>66</v>
      </c>
      <c r="G11" s="17" t="n">
        <v>0.574</v>
      </c>
      <c r="H11" s="17" t="n">
        <v>0.257</v>
      </c>
      <c r="I11" s="17" t="n">
        <v>0.489</v>
      </c>
      <c r="J11" s="17" t="n">
        <v>1</v>
      </c>
      <c r="K11" s="16" t="s">
        <v>70</v>
      </c>
      <c r="L11" s="18" t="b">
        <f aca="false">TRUE()</f>
        <v>1</v>
      </c>
      <c r="M11" s="16" t="n">
        <v>9</v>
      </c>
      <c r="N11" s="16" t="n">
        <v>1</v>
      </c>
      <c r="O11" s="16"/>
    </row>
    <row r="12" customFormat="false" ht="15" hidden="false" customHeight="false" outlineLevel="0" collapsed="false">
      <c r="A12" s="12" t="s">
        <v>46</v>
      </c>
      <c r="B12" s="12" t="s">
        <v>71</v>
      </c>
      <c r="C12" s="12" t="s">
        <v>48</v>
      </c>
      <c r="D12" s="12" t="n">
        <v>33.533</v>
      </c>
      <c r="E12" s="12" t="n">
        <v>-5.111</v>
      </c>
      <c r="F12" s="14" t="n">
        <v>62</v>
      </c>
      <c r="G12" s="14" t="n">
        <v>0.167</v>
      </c>
      <c r="H12" s="14" t="n">
        <v>0.691</v>
      </c>
      <c r="I12" s="14" t="n">
        <v>0.149</v>
      </c>
      <c r="J12" s="14" t="n">
        <v>1</v>
      </c>
      <c r="K12" s="12" t="s">
        <v>64</v>
      </c>
      <c r="L12" s="15" t="b">
        <f aca="false">FALSE()</f>
        <v>0</v>
      </c>
      <c r="M12" s="12"/>
      <c r="N12" s="12" t="n">
        <v>0</v>
      </c>
      <c r="O12" s="12"/>
    </row>
    <row r="13" customFormat="false" ht="15" hidden="false" customHeight="false" outlineLevel="0" collapsed="false">
      <c r="A13" s="16" t="s">
        <v>46</v>
      </c>
      <c r="B13" s="19" t="s">
        <v>72</v>
      </c>
      <c r="C13" s="16" t="s">
        <v>48</v>
      </c>
      <c r="D13" s="16" t="n">
        <v>30.92</v>
      </c>
      <c r="E13" s="16" t="n">
        <v>-6.91</v>
      </c>
      <c r="F13" s="17" t="n">
        <v>60</v>
      </c>
      <c r="G13" s="17" t="n">
        <v>0.544</v>
      </c>
      <c r="H13" s="17" t="n">
        <v>0.455</v>
      </c>
      <c r="I13" s="17" t="n">
        <v>0.379</v>
      </c>
      <c r="J13" s="17" t="n">
        <v>0.9</v>
      </c>
      <c r="K13" s="16" t="s">
        <v>73</v>
      </c>
      <c r="L13" s="18" t="b">
        <f aca="false">TRUE()</f>
        <v>1</v>
      </c>
      <c r="M13" s="16" t="n">
        <v>11</v>
      </c>
      <c r="N13" s="16" t="n">
        <v>1</v>
      </c>
      <c r="O13" s="16" t="s">
        <v>74</v>
      </c>
    </row>
    <row r="14" customFormat="false" ht="15" hidden="false" customHeight="false" outlineLevel="0" collapsed="false">
      <c r="A14" s="12" t="s">
        <v>46</v>
      </c>
      <c r="B14" s="12" t="s">
        <v>75</v>
      </c>
      <c r="C14" s="12" t="s">
        <v>48</v>
      </c>
      <c r="D14" s="12" t="n">
        <v>35.78</v>
      </c>
      <c r="E14" s="12" t="n">
        <v>-5.813</v>
      </c>
      <c r="F14" s="14" t="n">
        <v>58</v>
      </c>
      <c r="G14" s="14" t="n">
        <v>0.483</v>
      </c>
      <c r="H14" s="14" t="n">
        <v>0.086</v>
      </c>
      <c r="I14" s="14" t="n">
        <v>0.502</v>
      </c>
      <c r="J14" s="14" t="n">
        <v>1</v>
      </c>
      <c r="K14" s="12" t="s">
        <v>66</v>
      </c>
      <c r="L14" s="15" t="b">
        <f aca="false">FALSE()</f>
        <v>0</v>
      </c>
      <c r="M14" s="12"/>
      <c r="N14" s="12" t="n">
        <v>0</v>
      </c>
      <c r="O14" s="12"/>
    </row>
    <row r="15" customFormat="false" ht="15" hidden="false" customHeight="false" outlineLevel="0" collapsed="false">
      <c r="A15" s="16" t="s">
        <v>46</v>
      </c>
      <c r="B15" s="19" t="s">
        <v>76</v>
      </c>
      <c r="C15" s="16" t="s">
        <v>59</v>
      </c>
      <c r="D15" s="16" t="n">
        <v>34.879</v>
      </c>
      <c r="E15" s="16" t="n">
        <v>-6.29</v>
      </c>
      <c r="F15" s="17" t="n">
        <v>57</v>
      </c>
      <c r="G15" s="17" t="n">
        <v>0.007</v>
      </c>
      <c r="H15" s="17" t="n">
        <v>0.734</v>
      </c>
      <c r="I15" s="17" t="n">
        <v>0.074</v>
      </c>
      <c r="J15" s="17" t="n">
        <v>0.9</v>
      </c>
      <c r="K15" s="16" t="s">
        <v>77</v>
      </c>
      <c r="L15" s="18" t="b">
        <f aca="false">TRUE()</f>
        <v>1</v>
      </c>
      <c r="M15" s="16" t="n">
        <v>12</v>
      </c>
      <c r="N15" s="16" t="n">
        <v>0</v>
      </c>
      <c r="O15" s="16"/>
    </row>
    <row r="16" customFormat="false" ht="15" hidden="false" customHeight="false" outlineLevel="0" collapsed="false">
      <c r="A16" s="12" t="s">
        <v>46</v>
      </c>
      <c r="B16" s="13" t="s">
        <v>78</v>
      </c>
      <c r="C16" s="12" t="s">
        <v>48</v>
      </c>
      <c r="D16" s="12" t="n">
        <v>35.251</v>
      </c>
      <c r="E16" s="12" t="n">
        <v>-3.937</v>
      </c>
      <c r="F16" s="14" t="n">
        <v>55</v>
      </c>
      <c r="G16" s="14" t="n">
        <v>0.095</v>
      </c>
      <c r="H16" s="14" t="n">
        <v>0.649</v>
      </c>
      <c r="I16" s="14" t="n">
        <v>0.273</v>
      </c>
      <c r="J16" s="14" t="n">
        <v>0.9</v>
      </c>
      <c r="K16" s="12" t="s">
        <v>79</v>
      </c>
      <c r="L16" s="15" t="b">
        <f aca="false">TRUE()</f>
        <v>1</v>
      </c>
      <c r="M16" s="12" t="n">
        <v>10</v>
      </c>
      <c r="N16" s="12" t="n">
        <v>0</v>
      </c>
      <c r="O16" s="12"/>
    </row>
    <row r="17" customFormat="false" ht="15" hidden="false" customHeight="false" outlineLevel="0" collapsed="false">
      <c r="A17" s="16" t="s">
        <v>46</v>
      </c>
      <c r="B17" s="16" t="s">
        <v>80</v>
      </c>
      <c r="C17" s="16" t="s">
        <v>48</v>
      </c>
      <c r="D17" s="16" t="n">
        <v>30.471</v>
      </c>
      <c r="E17" s="16" t="n">
        <v>-8.877</v>
      </c>
      <c r="F17" s="17" t="n">
        <v>51</v>
      </c>
      <c r="G17" s="17" t="n">
        <v>0.289</v>
      </c>
      <c r="H17" s="17" t="n">
        <v>0.102</v>
      </c>
      <c r="I17" s="17" t="n">
        <v>0.588</v>
      </c>
      <c r="J17" s="17" t="n">
        <v>0.9</v>
      </c>
      <c r="K17" s="16" t="s">
        <v>51</v>
      </c>
      <c r="L17" s="18" t="b">
        <f aca="false">FALSE()</f>
        <v>0</v>
      </c>
      <c r="M17" s="16"/>
      <c r="N17" s="16" t="n">
        <v>0</v>
      </c>
      <c r="O17" s="16"/>
    </row>
    <row r="18" customFormat="false" ht="15" hidden="false" customHeight="false" outlineLevel="0" collapsed="false">
      <c r="A18" s="12" t="s">
        <v>46</v>
      </c>
      <c r="B18" s="13" t="s">
        <v>81</v>
      </c>
      <c r="C18" s="12" t="s">
        <v>48</v>
      </c>
      <c r="D18" s="12" t="n">
        <v>33.573</v>
      </c>
      <c r="E18" s="12" t="n">
        <v>-7.59</v>
      </c>
      <c r="F18" s="14" t="n">
        <v>50</v>
      </c>
      <c r="G18" s="14" t="n">
        <v>0.438</v>
      </c>
      <c r="H18" s="14" t="n">
        <v>0.081</v>
      </c>
      <c r="I18" s="14" t="n">
        <v>0.4</v>
      </c>
      <c r="J18" s="14" t="n">
        <v>1</v>
      </c>
      <c r="K18" s="12" t="s">
        <v>82</v>
      </c>
      <c r="L18" s="15" t="b">
        <f aca="false">TRUE()</f>
        <v>1</v>
      </c>
      <c r="M18" s="12" t="n">
        <v>13</v>
      </c>
      <c r="N18" s="12" t="n">
        <v>0</v>
      </c>
      <c r="O18" s="12"/>
    </row>
    <row r="19" customFormat="false" ht="15" hidden="false" customHeight="false" outlineLevel="0" collapsed="false">
      <c r="A19" s="16" t="s">
        <v>46</v>
      </c>
      <c r="B19" s="19" t="s">
        <v>83</v>
      </c>
      <c r="C19" s="16" t="s">
        <v>59</v>
      </c>
      <c r="D19" s="16" t="n">
        <v>31.1</v>
      </c>
      <c r="E19" s="16" t="n">
        <v>-4.011</v>
      </c>
      <c r="F19" s="17" t="n">
        <v>49</v>
      </c>
      <c r="G19" s="17" t="n">
        <v>0.039</v>
      </c>
      <c r="H19" s="17" t="n">
        <v>0.718</v>
      </c>
      <c r="I19" s="17" t="n">
        <v>0.393</v>
      </c>
      <c r="J19" s="17" t="n">
        <v>0.7</v>
      </c>
      <c r="K19" s="16" t="s">
        <v>84</v>
      </c>
      <c r="L19" s="18" t="b">
        <f aca="false">TRUE()</f>
        <v>1</v>
      </c>
      <c r="M19" s="16" t="n">
        <v>8</v>
      </c>
      <c r="N19" s="16" t="n">
        <v>0</v>
      </c>
      <c r="O19" s="16"/>
    </row>
    <row r="20" customFormat="false" ht="15" hidden="false" customHeight="false" outlineLevel="0" collapsed="false">
      <c r="A20" s="12" t="s">
        <v>46</v>
      </c>
      <c r="B20" s="13" t="s">
        <v>85</v>
      </c>
      <c r="C20" s="12" t="s">
        <v>59</v>
      </c>
      <c r="D20" s="12" t="n">
        <v>32.016</v>
      </c>
      <c r="E20" s="12" t="n">
        <v>-6.72</v>
      </c>
      <c r="F20" s="14" t="n">
        <v>44</v>
      </c>
      <c r="G20" s="14" t="n">
        <v>0.007</v>
      </c>
      <c r="H20" s="14" t="n">
        <v>0.565</v>
      </c>
      <c r="I20" s="14" t="n">
        <v>0.074</v>
      </c>
      <c r="J20" s="14" t="n">
        <v>0.9</v>
      </c>
      <c r="K20" s="12" t="s">
        <v>86</v>
      </c>
      <c r="L20" s="15" t="b">
        <f aca="false">TRUE()</f>
        <v>1</v>
      </c>
      <c r="M20" s="12" t="n">
        <v>6</v>
      </c>
      <c r="N20" s="12" t="n">
        <v>0</v>
      </c>
      <c r="O20" s="12"/>
    </row>
    <row r="21" customFormat="false" ht="15" hidden="false" customHeight="false" outlineLevel="0" collapsed="false">
      <c r="A21" s="16" t="s">
        <v>46</v>
      </c>
      <c r="B21" s="16" t="s">
        <v>87</v>
      </c>
      <c r="C21" s="16" t="s">
        <v>48</v>
      </c>
      <c r="D21" s="16" t="n">
        <v>29.72</v>
      </c>
      <c r="E21" s="16" t="n">
        <v>-8.973</v>
      </c>
      <c r="F21" s="17" t="n">
        <v>44</v>
      </c>
      <c r="G21" s="17" t="n">
        <v>0.096</v>
      </c>
      <c r="H21" s="17" t="n">
        <v>0.593</v>
      </c>
      <c r="I21" s="17" t="n">
        <v>0.418</v>
      </c>
      <c r="J21" s="17" t="n">
        <v>0.7</v>
      </c>
      <c r="K21" s="16" t="s">
        <v>68</v>
      </c>
      <c r="L21" s="18" t="b">
        <f aca="false">FALSE()</f>
        <v>0</v>
      </c>
      <c r="M21" s="16"/>
      <c r="N21" s="16" t="n">
        <v>0</v>
      </c>
      <c r="O21" s="16"/>
    </row>
    <row r="22" customFormat="false" ht="15" hidden="false" customHeight="false" outlineLevel="0" collapsed="false">
      <c r="A22" s="12" t="s">
        <v>46</v>
      </c>
      <c r="B22" s="12" t="s">
        <v>88</v>
      </c>
      <c r="C22" s="12" t="s">
        <v>48</v>
      </c>
      <c r="D22" s="12" t="n">
        <v>35.169</v>
      </c>
      <c r="E22" s="12" t="n">
        <v>-5.269</v>
      </c>
      <c r="F22" s="14" t="n">
        <v>43</v>
      </c>
      <c r="G22" s="14" t="n">
        <v>0.235</v>
      </c>
      <c r="H22" s="14" t="n">
        <v>0.495</v>
      </c>
      <c r="I22" s="14" t="n">
        <v>0.367</v>
      </c>
      <c r="J22" s="14" t="n">
        <v>0.77</v>
      </c>
      <c r="K22" s="12" t="s">
        <v>89</v>
      </c>
      <c r="L22" s="15" t="b">
        <f aca="false">FALSE()</f>
        <v>0</v>
      </c>
      <c r="M22" s="12"/>
      <c r="N22" s="12" t="n">
        <v>0</v>
      </c>
      <c r="O22" s="12"/>
    </row>
    <row r="23" customFormat="false" ht="15" hidden="false" customHeight="false" outlineLevel="0" collapsed="false">
      <c r="A23" s="16" t="s">
        <v>46</v>
      </c>
      <c r="B23" s="16" t="s">
        <v>90</v>
      </c>
      <c r="C23" s="16" t="s">
        <v>48</v>
      </c>
      <c r="D23" s="16" t="n">
        <v>32.299</v>
      </c>
      <c r="E23" s="16" t="n">
        <v>-9.238</v>
      </c>
      <c r="F23" s="17" t="n">
        <v>41</v>
      </c>
      <c r="G23" s="17" t="n">
        <v>0.237</v>
      </c>
      <c r="H23" s="17" t="n">
        <v>0.075</v>
      </c>
      <c r="I23" s="17" t="n">
        <v>0.414</v>
      </c>
      <c r="J23" s="17" t="n">
        <v>1</v>
      </c>
      <c r="K23" s="16" t="s">
        <v>66</v>
      </c>
      <c r="L23" s="18" t="b">
        <f aca="false">FALSE()</f>
        <v>0</v>
      </c>
      <c r="M23" s="16"/>
      <c r="N23" s="16" t="n">
        <v>0</v>
      </c>
      <c r="O23" s="16"/>
    </row>
    <row r="24" customFormat="false" ht="15" hidden="false" customHeight="false" outlineLevel="0" collapsed="false">
      <c r="A24" s="12" t="s">
        <v>46</v>
      </c>
      <c r="B24" s="13" t="s">
        <v>91</v>
      </c>
      <c r="C24" s="12" t="s">
        <v>48</v>
      </c>
      <c r="D24" s="12" t="n">
        <v>23.685</v>
      </c>
      <c r="E24" s="12" t="n">
        <v>-15.958</v>
      </c>
      <c r="F24" s="14" t="n">
        <v>39</v>
      </c>
      <c r="G24" s="14" t="n">
        <v>0.07</v>
      </c>
      <c r="H24" s="14" t="n">
        <v>0.552</v>
      </c>
      <c r="I24" s="14" t="n">
        <v>0.347</v>
      </c>
      <c r="J24" s="14" t="n">
        <v>0.7</v>
      </c>
      <c r="K24" s="12" t="s">
        <v>92</v>
      </c>
      <c r="L24" s="15" t="b">
        <f aca="false">TRUE()</f>
        <v>1</v>
      </c>
      <c r="M24" s="12" t="n">
        <v>15</v>
      </c>
      <c r="N24" s="12" t="n">
        <v>0</v>
      </c>
      <c r="O24" s="12"/>
    </row>
    <row r="25" customFormat="false" ht="15" hidden="false" customHeight="false" outlineLevel="0" collapsed="false">
      <c r="A25" s="16" t="s">
        <v>46</v>
      </c>
      <c r="B25" s="19" t="s">
        <v>93</v>
      </c>
      <c r="C25" s="16" t="s">
        <v>48</v>
      </c>
      <c r="D25" s="16" t="n">
        <v>30.332</v>
      </c>
      <c r="E25" s="16" t="n">
        <v>-5.838</v>
      </c>
      <c r="F25" s="17" t="n">
        <v>38</v>
      </c>
      <c r="G25" s="17" t="n">
        <v>0.165</v>
      </c>
      <c r="H25" s="17" t="n">
        <v>0.424</v>
      </c>
      <c r="I25" s="17" t="n">
        <v>0.442</v>
      </c>
      <c r="J25" s="17" t="n">
        <v>0.7</v>
      </c>
      <c r="K25" s="16" t="s">
        <v>84</v>
      </c>
      <c r="L25" s="18" t="b">
        <f aca="false">TRUE()</f>
        <v>1</v>
      </c>
      <c r="M25" s="16" t="n">
        <v>14</v>
      </c>
      <c r="N25" s="16" t="n">
        <v>0</v>
      </c>
      <c r="O25" s="16"/>
    </row>
    <row r="26" customFormat="false" ht="15" hidden="false" customHeight="false" outlineLevel="0" collapsed="false">
      <c r="A26" s="12" t="s">
        <v>46</v>
      </c>
      <c r="B26" s="12" t="s">
        <v>94</v>
      </c>
      <c r="C26" s="12" t="s">
        <v>48</v>
      </c>
      <c r="D26" s="12" t="n">
        <v>33.256</v>
      </c>
      <c r="E26" s="12" t="n">
        <v>-8.507</v>
      </c>
      <c r="F26" s="14" t="n">
        <v>36</v>
      </c>
      <c r="G26" s="14" t="n">
        <v>0.397</v>
      </c>
      <c r="H26" s="14" t="n">
        <v>0.074</v>
      </c>
      <c r="I26" s="14" t="n">
        <v>0.172</v>
      </c>
      <c r="J26" s="14" t="n">
        <v>1</v>
      </c>
      <c r="K26" s="12" t="s">
        <v>62</v>
      </c>
      <c r="L26" s="15" t="b">
        <f aca="false">FALSE()</f>
        <v>0</v>
      </c>
      <c r="M26" s="12"/>
      <c r="N26" s="12" t="n">
        <v>1</v>
      </c>
      <c r="O26" s="12"/>
    </row>
    <row r="27" customFormat="false" ht="15" hidden="false" customHeight="false" outlineLevel="0" collapsed="false">
      <c r="A27" s="16" t="s">
        <v>46</v>
      </c>
      <c r="B27" s="16" t="s">
        <v>95</v>
      </c>
      <c r="C27" s="16" t="s">
        <v>48</v>
      </c>
      <c r="D27" s="16" t="n">
        <v>28.438</v>
      </c>
      <c r="E27" s="16" t="n">
        <v>-11.103</v>
      </c>
      <c r="F27" s="17" t="n">
        <v>35</v>
      </c>
      <c r="G27" s="17" t="n">
        <v>0.043</v>
      </c>
      <c r="H27" s="17" t="n">
        <v>0.392</v>
      </c>
      <c r="I27" s="17" t="n">
        <v>0.418</v>
      </c>
      <c r="J27" s="17" t="n">
        <v>0.7</v>
      </c>
      <c r="K27" s="16" t="s">
        <v>92</v>
      </c>
      <c r="L27" s="18" t="b">
        <f aca="false">FALSE()</f>
        <v>0</v>
      </c>
      <c r="M27" s="16"/>
      <c r="N27" s="16" t="n">
        <v>0</v>
      </c>
      <c r="O27" s="16"/>
    </row>
    <row r="28" customFormat="false" ht="15" hidden="false" customHeight="false" outlineLevel="0" collapsed="false">
      <c r="A28" s="12" t="s">
        <v>46</v>
      </c>
      <c r="B28" s="12" t="s">
        <v>96</v>
      </c>
      <c r="C28" s="12" t="s">
        <v>48</v>
      </c>
      <c r="D28" s="12" t="n">
        <v>34.681</v>
      </c>
      <c r="E28" s="12" t="n">
        <v>-1.908</v>
      </c>
      <c r="F28" s="14" t="n">
        <v>34</v>
      </c>
      <c r="G28" s="14" t="n">
        <v>0.214</v>
      </c>
      <c r="H28" s="14" t="n">
        <v>0.263</v>
      </c>
      <c r="I28" s="14" t="n">
        <v>0.22</v>
      </c>
      <c r="J28" s="14" t="n">
        <v>1</v>
      </c>
      <c r="K28" s="12" t="s">
        <v>84</v>
      </c>
      <c r="L28" s="15" t="b">
        <f aca="false">FALSE()</f>
        <v>0</v>
      </c>
      <c r="M28" s="12"/>
      <c r="N28" s="12" t="n">
        <v>0</v>
      </c>
      <c r="O28" s="12"/>
    </row>
    <row r="29" customFormat="false" ht="15" hidden="false" customHeight="false" outlineLevel="0" collapsed="false">
      <c r="A29" s="16" t="s">
        <v>46</v>
      </c>
      <c r="B29" s="16" t="s">
        <v>97</v>
      </c>
      <c r="C29" s="16" t="s">
        <v>48</v>
      </c>
      <c r="D29" s="16" t="n">
        <v>34.053</v>
      </c>
      <c r="E29" s="16" t="n">
        <v>-6.798</v>
      </c>
      <c r="F29" s="17" t="n">
        <v>32</v>
      </c>
      <c r="G29" s="17" t="n">
        <v>0.325</v>
      </c>
      <c r="H29" s="17" t="n">
        <v>0.143</v>
      </c>
      <c r="I29" s="17" t="n">
        <v>0.172</v>
      </c>
      <c r="J29" s="17" t="n">
        <v>1</v>
      </c>
      <c r="K29" s="16" t="s">
        <v>66</v>
      </c>
      <c r="L29" s="18" t="b">
        <f aca="false">FALSE()</f>
        <v>0</v>
      </c>
      <c r="M29" s="16"/>
      <c r="N29" s="16" t="n">
        <v>0</v>
      </c>
      <c r="O29" s="16"/>
    </row>
    <row r="30" customFormat="false" ht="15" hidden="false" customHeight="false" outlineLevel="0" collapsed="false">
      <c r="A30" s="12" t="s">
        <v>46</v>
      </c>
      <c r="B30" s="12" t="s">
        <v>98</v>
      </c>
      <c r="C30" s="12" t="s">
        <v>48</v>
      </c>
      <c r="D30" s="12" t="n">
        <v>32.339</v>
      </c>
      <c r="E30" s="12" t="n">
        <v>-6.361</v>
      </c>
      <c r="F30" s="14" t="n">
        <v>29</v>
      </c>
      <c r="G30" s="14" t="n">
        <v>0.102</v>
      </c>
      <c r="H30" s="14" t="n">
        <v>0.278</v>
      </c>
      <c r="I30" s="14" t="n">
        <v>0.172</v>
      </c>
      <c r="J30" s="14" t="n">
        <v>1</v>
      </c>
      <c r="K30" s="12" t="s">
        <v>99</v>
      </c>
      <c r="L30" s="15" t="b">
        <f aca="false">FALSE()</f>
        <v>0</v>
      </c>
      <c r="M30" s="12"/>
      <c r="N30" s="12" t="n">
        <v>0</v>
      </c>
      <c r="O30" s="12"/>
    </row>
    <row r="31" customFormat="false" ht="15" hidden="false" customHeight="false" outlineLevel="0" collapsed="false">
      <c r="A31" s="16" t="s">
        <v>46</v>
      </c>
      <c r="B31" s="16" t="s">
        <v>100</v>
      </c>
      <c r="C31" s="16" t="s">
        <v>48</v>
      </c>
      <c r="D31" s="16" t="n">
        <v>27.15</v>
      </c>
      <c r="E31" s="16" t="n">
        <v>-13.203</v>
      </c>
      <c r="F31" s="17" t="n">
        <v>28</v>
      </c>
      <c r="G31" s="17" t="n">
        <v>0.085</v>
      </c>
      <c r="H31" s="17" t="n">
        <v>0.307</v>
      </c>
      <c r="I31" s="17" t="n">
        <v>0.347</v>
      </c>
      <c r="J31" s="17" t="n">
        <v>0.7</v>
      </c>
      <c r="K31" s="16" t="s">
        <v>84</v>
      </c>
      <c r="L31" s="18" t="b">
        <f aca="false">FALSE()</f>
        <v>0</v>
      </c>
      <c r="M31" s="16"/>
      <c r="N31" s="16" t="n">
        <v>0</v>
      </c>
      <c r="O31" s="16"/>
    </row>
    <row r="32" customFormat="false" ht="15" hidden="false" customHeight="false" outlineLevel="0" collapsed="false">
      <c r="A32" s="12" t="s">
        <v>46</v>
      </c>
      <c r="B32" s="12" t="s">
        <v>101</v>
      </c>
      <c r="C32" s="12" t="s">
        <v>48</v>
      </c>
      <c r="D32" s="12" t="n">
        <v>35.465</v>
      </c>
      <c r="E32" s="12" t="n">
        <v>-6.037</v>
      </c>
      <c r="F32" s="14" t="n">
        <v>22</v>
      </c>
      <c r="G32" s="14" t="n">
        <v>0.122</v>
      </c>
      <c r="H32" s="14" t="n">
        <v>0.073</v>
      </c>
      <c r="I32" s="14" t="n">
        <v>0.22</v>
      </c>
      <c r="J32" s="14" t="n">
        <v>1</v>
      </c>
      <c r="K32" s="12" t="s">
        <v>102</v>
      </c>
      <c r="L32" s="15" t="b">
        <f aca="false">FALSE()</f>
        <v>0</v>
      </c>
      <c r="M32" s="12"/>
      <c r="N32" s="12" t="n">
        <v>0</v>
      </c>
      <c r="O32" s="12"/>
    </row>
    <row r="33" customFormat="false" ht="15" hidden="false" customHeight="false" outlineLevel="0" collapsed="false">
      <c r="A33" s="16" t="s">
        <v>46</v>
      </c>
      <c r="B33" s="16" t="s">
        <v>103</v>
      </c>
      <c r="C33" s="16" t="s">
        <v>48</v>
      </c>
      <c r="D33" s="16" t="n">
        <v>29.379</v>
      </c>
      <c r="E33" s="16" t="n">
        <v>-10.175</v>
      </c>
      <c r="F33" s="17" t="n">
        <v>11</v>
      </c>
      <c r="G33" s="17" t="n">
        <v>0.096</v>
      </c>
      <c r="H33" s="17" t="n">
        <v>0.076</v>
      </c>
      <c r="I33" s="17" t="n">
        <v>0.149</v>
      </c>
      <c r="J33" s="17" t="n">
        <v>0.7</v>
      </c>
      <c r="K33" s="16" t="s">
        <v>66</v>
      </c>
      <c r="L33" s="18" t="b">
        <f aca="false">FALSE()</f>
        <v>0</v>
      </c>
      <c r="M33" s="16"/>
      <c r="N33" s="16" t="n">
        <v>0</v>
      </c>
      <c r="O33" s="16"/>
    </row>
    <row r="34" customFormat="false" ht="15" hidden="false" customHeight="false" outlineLevel="0" collapsed="false">
      <c r="A34" s="12" t="s">
        <v>104</v>
      </c>
      <c r="B34" s="13" t="s">
        <v>105</v>
      </c>
      <c r="C34" s="12" t="s">
        <v>48</v>
      </c>
      <c r="D34" s="12" t="n">
        <v>64.147</v>
      </c>
      <c r="E34" s="12" t="n">
        <v>-21.943</v>
      </c>
      <c r="F34" s="14" t="n">
        <v>100</v>
      </c>
      <c r="G34" s="14" t="n">
        <v>1</v>
      </c>
      <c r="H34" s="14" t="n">
        <v>0.035</v>
      </c>
      <c r="I34" s="14" t="n">
        <v>1</v>
      </c>
      <c r="J34" s="14" t="n">
        <v>1</v>
      </c>
      <c r="K34" s="12" t="s">
        <v>66</v>
      </c>
      <c r="L34" s="15" t="b">
        <f aca="false">TRUE()</f>
        <v>1</v>
      </c>
      <c r="M34" s="12" t="n">
        <v>1</v>
      </c>
      <c r="N34" s="12" t="n">
        <v>0</v>
      </c>
      <c r="O34" s="12"/>
    </row>
    <row r="35" customFormat="false" ht="15" hidden="false" customHeight="false" outlineLevel="0" collapsed="false">
      <c r="A35" s="16" t="s">
        <v>104</v>
      </c>
      <c r="B35" s="19" t="s">
        <v>106</v>
      </c>
      <c r="C35" s="16" t="s">
        <v>48</v>
      </c>
      <c r="D35" s="16" t="n">
        <v>63.44</v>
      </c>
      <c r="E35" s="16" t="n">
        <v>-20.273</v>
      </c>
      <c r="F35" s="17" t="n">
        <v>71</v>
      </c>
      <c r="G35" s="17" t="n">
        <v>0.274</v>
      </c>
      <c r="H35" s="17" t="n">
        <v>0.754</v>
      </c>
      <c r="I35" s="17" t="n">
        <v>0.721</v>
      </c>
      <c r="J35" s="17" t="n">
        <v>0.9</v>
      </c>
      <c r="K35" s="16" t="s">
        <v>107</v>
      </c>
      <c r="L35" s="18" t="b">
        <f aca="false">TRUE()</f>
        <v>1</v>
      </c>
      <c r="M35" s="16" t="n">
        <v>3</v>
      </c>
      <c r="N35" s="16" t="n">
        <v>1</v>
      </c>
      <c r="O35" s="16" t="s">
        <v>108</v>
      </c>
    </row>
    <row r="36" customFormat="false" ht="15" hidden="false" customHeight="false" outlineLevel="0" collapsed="false">
      <c r="A36" s="12" t="s">
        <v>104</v>
      </c>
      <c r="B36" s="13" t="s">
        <v>109</v>
      </c>
      <c r="C36" s="12" t="s">
        <v>59</v>
      </c>
      <c r="D36" s="12" t="n">
        <v>64.017</v>
      </c>
      <c r="E36" s="12" t="n">
        <v>-16.966</v>
      </c>
      <c r="F36" s="14" t="n">
        <v>66</v>
      </c>
      <c r="G36" s="14" t="n">
        <v>0.021</v>
      </c>
      <c r="H36" s="14" t="n">
        <v>1</v>
      </c>
      <c r="I36" s="14" t="n">
        <v>0.092</v>
      </c>
      <c r="J36" s="14" t="n">
        <v>0.9</v>
      </c>
      <c r="K36" s="12" t="s">
        <v>110</v>
      </c>
      <c r="L36" s="15" t="b">
        <f aca="false">TRUE()</f>
        <v>1</v>
      </c>
      <c r="M36" s="12" t="n">
        <v>2</v>
      </c>
      <c r="N36" s="12" t="n">
        <v>1</v>
      </c>
      <c r="O36" s="12"/>
    </row>
    <row r="37" customFormat="false" ht="15" hidden="false" customHeight="false" outlineLevel="0" collapsed="false">
      <c r="A37" s="16" t="s">
        <v>104</v>
      </c>
      <c r="B37" s="19" t="s">
        <v>111</v>
      </c>
      <c r="C37" s="16" t="s">
        <v>48</v>
      </c>
      <c r="D37" s="16" t="n">
        <v>65.685</v>
      </c>
      <c r="E37" s="16" t="n">
        <v>-18.089</v>
      </c>
      <c r="F37" s="17" t="n">
        <v>61</v>
      </c>
      <c r="G37" s="17" t="n">
        <v>0.429</v>
      </c>
      <c r="H37" s="17" t="n">
        <v>0.25</v>
      </c>
      <c r="I37" s="17" t="n">
        <v>0.803</v>
      </c>
      <c r="J37" s="17" t="n">
        <v>0.9</v>
      </c>
      <c r="K37" s="16" t="s">
        <v>112</v>
      </c>
      <c r="L37" s="18" t="b">
        <f aca="false">TRUE()</f>
        <v>1</v>
      </c>
      <c r="M37" s="16" t="n">
        <v>4</v>
      </c>
      <c r="N37" s="16" t="n">
        <v>0</v>
      </c>
      <c r="O37" s="16"/>
    </row>
    <row r="38" customFormat="false" ht="15" hidden="false" customHeight="false" outlineLevel="0" collapsed="false">
      <c r="A38" s="12" t="s">
        <v>104</v>
      </c>
      <c r="B38" s="13" t="s">
        <v>113</v>
      </c>
      <c r="C38" s="12" t="s">
        <v>48</v>
      </c>
      <c r="D38" s="12" t="n">
        <v>66.075</v>
      </c>
      <c r="E38" s="12" t="n">
        <v>-23.135</v>
      </c>
      <c r="F38" s="14" t="n">
        <v>50</v>
      </c>
      <c r="G38" s="14" t="n">
        <v>0.268</v>
      </c>
      <c r="H38" s="14" t="n">
        <v>0.609</v>
      </c>
      <c r="I38" s="14" t="n">
        <v>0.721</v>
      </c>
      <c r="J38" s="14" t="n">
        <v>0.7</v>
      </c>
      <c r="K38" s="12" t="s">
        <v>79</v>
      </c>
      <c r="L38" s="15" t="b">
        <f aca="false">TRUE()</f>
        <v>1</v>
      </c>
      <c r="M38" s="12" t="n">
        <v>5</v>
      </c>
      <c r="N38" s="12" t="n">
        <v>0</v>
      </c>
      <c r="O38" s="12" t="s">
        <v>114</v>
      </c>
    </row>
    <row r="39" customFormat="false" ht="15" hidden="false" customHeight="false" outlineLevel="0" collapsed="false">
      <c r="A39" s="16" t="s">
        <v>104</v>
      </c>
      <c r="B39" s="16" t="s">
        <v>115</v>
      </c>
      <c r="C39" s="16" t="s">
        <v>59</v>
      </c>
      <c r="D39" s="16" t="n">
        <v>64.256</v>
      </c>
      <c r="E39" s="16" t="n">
        <v>-21.13</v>
      </c>
      <c r="F39" s="17" t="n">
        <v>49</v>
      </c>
      <c r="G39" s="17" t="n">
        <v>0.644</v>
      </c>
      <c r="H39" s="17" t="n">
        <v>0.475</v>
      </c>
      <c r="I39" s="17" t="n">
        <v>0.178</v>
      </c>
      <c r="J39" s="17" t="n">
        <v>0.85</v>
      </c>
      <c r="K39" s="16" t="s">
        <v>116</v>
      </c>
      <c r="L39" s="18" t="b">
        <f aca="false">FALSE()</f>
        <v>0</v>
      </c>
      <c r="M39" s="16"/>
      <c r="N39" s="16" t="n">
        <v>1</v>
      </c>
      <c r="O39" s="16"/>
    </row>
    <row r="40" customFormat="false" ht="15" hidden="false" customHeight="false" outlineLevel="0" collapsed="false">
      <c r="A40" s="12" t="s">
        <v>104</v>
      </c>
      <c r="B40" s="13" t="s">
        <v>117</v>
      </c>
      <c r="C40" s="12" t="s">
        <v>48</v>
      </c>
      <c r="D40" s="12" t="n">
        <v>64.253</v>
      </c>
      <c r="E40" s="12" t="n">
        <v>-15.212</v>
      </c>
      <c r="F40" s="14" t="n">
        <v>46</v>
      </c>
      <c r="G40" s="14" t="n">
        <v>0.136</v>
      </c>
      <c r="H40" s="14" t="n">
        <v>0.666</v>
      </c>
      <c r="I40" s="14" t="n">
        <v>0.59</v>
      </c>
      <c r="J40" s="14" t="n">
        <v>0.7</v>
      </c>
      <c r="K40" s="12" t="s">
        <v>118</v>
      </c>
      <c r="L40" s="15" t="b">
        <f aca="false">TRUE()</f>
        <v>1</v>
      </c>
      <c r="M40" s="12" t="n">
        <v>7</v>
      </c>
      <c r="N40" s="12" t="n">
        <v>1</v>
      </c>
      <c r="O40" s="12" t="s">
        <v>119</v>
      </c>
    </row>
    <row r="41" customFormat="false" ht="15" hidden="false" customHeight="false" outlineLevel="0" collapsed="false">
      <c r="A41" s="16" t="s">
        <v>104</v>
      </c>
      <c r="B41" s="19" t="s">
        <v>120</v>
      </c>
      <c r="C41" s="16" t="s">
        <v>48</v>
      </c>
      <c r="D41" s="16" t="n">
        <v>64.804</v>
      </c>
      <c r="E41" s="16" t="n">
        <v>-23.776</v>
      </c>
      <c r="F41" s="17" t="n">
        <v>45</v>
      </c>
      <c r="G41" s="17" t="n">
        <v>0.215</v>
      </c>
      <c r="H41" s="17" t="n">
        <v>0.587</v>
      </c>
      <c r="I41" s="17" t="n">
        <v>0.275</v>
      </c>
      <c r="J41" s="17" t="n">
        <v>0.9</v>
      </c>
      <c r="K41" s="16" t="s">
        <v>121</v>
      </c>
      <c r="L41" s="18" t="b">
        <f aca="false">TRUE()</f>
        <v>1</v>
      </c>
      <c r="M41" s="16" t="n">
        <v>6</v>
      </c>
      <c r="N41" s="16" t="n">
        <v>0</v>
      </c>
      <c r="O41" s="16"/>
    </row>
    <row r="42" customFormat="false" ht="15" hidden="false" customHeight="false" outlineLevel="0" collapsed="false">
      <c r="A42" s="12" t="s">
        <v>104</v>
      </c>
      <c r="B42" s="12" t="s">
        <v>122</v>
      </c>
      <c r="C42" s="12" t="s">
        <v>59</v>
      </c>
      <c r="D42" s="12" t="n">
        <v>65.603</v>
      </c>
      <c r="E42" s="12" t="n">
        <v>-16.996</v>
      </c>
      <c r="F42" s="14" t="n">
        <v>41</v>
      </c>
      <c r="G42" s="14" t="n">
        <v>0.021</v>
      </c>
      <c r="H42" s="14" t="n">
        <v>0.608</v>
      </c>
      <c r="I42" s="14" t="n">
        <v>0.137</v>
      </c>
      <c r="J42" s="14" t="n">
        <v>0.9</v>
      </c>
      <c r="K42" s="12" t="s">
        <v>116</v>
      </c>
      <c r="L42" s="15" t="b">
        <f aca="false">FALSE()</f>
        <v>0</v>
      </c>
      <c r="M42" s="12"/>
      <c r="N42" s="12" t="n">
        <v>0</v>
      </c>
      <c r="O42" s="12"/>
    </row>
    <row r="43" customFormat="false" ht="15" hidden="false" customHeight="false" outlineLevel="0" collapsed="false">
      <c r="A43" s="16" t="s">
        <v>104</v>
      </c>
      <c r="B43" s="16" t="s">
        <v>123</v>
      </c>
      <c r="C43" s="16" t="s">
        <v>48</v>
      </c>
      <c r="D43" s="16" t="n">
        <v>66.045</v>
      </c>
      <c r="E43" s="16" t="n">
        <v>-17.338</v>
      </c>
      <c r="F43" s="17" t="n">
        <v>34</v>
      </c>
      <c r="G43" s="17" t="n">
        <v>0.215</v>
      </c>
      <c r="H43" s="17" t="n">
        <v>0.197</v>
      </c>
      <c r="I43" s="17" t="n">
        <v>0.59</v>
      </c>
      <c r="J43" s="17" t="n">
        <v>0.7</v>
      </c>
      <c r="K43" s="16" t="s">
        <v>124</v>
      </c>
      <c r="L43" s="18" t="b">
        <f aca="false">FALSE()</f>
        <v>0</v>
      </c>
      <c r="M43" s="16"/>
      <c r="N43" s="16" t="n">
        <v>0</v>
      </c>
      <c r="O43" s="16"/>
    </row>
    <row r="44" customFormat="false" ht="15" hidden="false" customHeight="false" outlineLevel="0" collapsed="false">
      <c r="A44" s="12" t="s">
        <v>104</v>
      </c>
      <c r="B44" s="13" t="s">
        <v>125</v>
      </c>
      <c r="C44" s="12" t="s">
        <v>48</v>
      </c>
      <c r="D44" s="12" t="n">
        <v>63.418</v>
      </c>
      <c r="E44" s="12" t="n">
        <v>-19.006</v>
      </c>
      <c r="F44" s="14" t="n">
        <v>32</v>
      </c>
      <c r="G44" s="14" t="n">
        <v>0.076</v>
      </c>
      <c r="H44" s="14" t="n">
        <v>0.436</v>
      </c>
      <c r="I44" s="14" t="n">
        <v>0.275</v>
      </c>
      <c r="J44" s="14" t="n">
        <v>0.85</v>
      </c>
      <c r="K44" s="12" t="s">
        <v>126</v>
      </c>
      <c r="L44" s="15" t="b">
        <f aca="false">TRUE()</f>
        <v>1</v>
      </c>
      <c r="M44" s="12" t="n">
        <v>10</v>
      </c>
      <c r="N44" s="12" t="n">
        <v>0</v>
      </c>
      <c r="O44" s="12"/>
    </row>
    <row r="45" customFormat="false" ht="15" hidden="false" customHeight="false" outlineLevel="0" collapsed="false">
      <c r="A45" s="16" t="s">
        <v>104</v>
      </c>
      <c r="B45" s="16" t="s">
        <v>127</v>
      </c>
      <c r="C45" s="16" t="s">
        <v>48</v>
      </c>
      <c r="D45" s="16" t="n">
        <v>63.879</v>
      </c>
      <c r="E45" s="16" t="n">
        <v>-22.446</v>
      </c>
      <c r="F45" s="17" t="n">
        <v>31</v>
      </c>
      <c r="G45" s="17" t="n">
        <v>0.074</v>
      </c>
      <c r="H45" s="17" t="n">
        <v>0.424</v>
      </c>
      <c r="I45" s="17" t="n">
        <v>0.458</v>
      </c>
      <c r="J45" s="17" t="n">
        <v>0.68</v>
      </c>
      <c r="K45" s="16" t="s">
        <v>128</v>
      </c>
      <c r="L45" s="18" t="b">
        <f aca="false">FALSE()</f>
        <v>0</v>
      </c>
      <c r="M45" s="16"/>
      <c r="N45" s="16" t="n">
        <v>0</v>
      </c>
      <c r="O45" s="16"/>
    </row>
    <row r="46" customFormat="false" ht="15" hidden="false" customHeight="false" outlineLevel="0" collapsed="false">
      <c r="A46" s="12" t="s">
        <v>104</v>
      </c>
      <c r="B46" s="12" t="s">
        <v>129</v>
      </c>
      <c r="C46" s="12" t="s">
        <v>59</v>
      </c>
      <c r="D46" s="12" t="n">
        <v>64.313</v>
      </c>
      <c r="E46" s="12" t="n">
        <v>-20.302</v>
      </c>
      <c r="F46" s="14" t="n">
        <v>26</v>
      </c>
      <c r="G46" s="14" t="n">
        <v>0.021</v>
      </c>
      <c r="H46" s="14" t="n">
        <v>0.395</v>
      </c>
      <c r="I46" s="14" t="n">
        <v>0.137</v>
      </c>
      <c r="J46" s="14" t="n">
        <v>0.85</v>
      </c>
      <c r="K46" s="12" t="s">
        <v>130</v>
      </c>
      <c r="L46" s="15" t="b">
        <f aca="false">FALSE()</f>
        <v>0</v>
      </c>
      <c r="M46" s="12"/>
      <c r="N46" s="12" t="n">
        <v>0</v>
      </c>
      <c r="O46" s="12"/>
    </row>
    <row r="47" customFormat="false" ht="15" hidden="false" customHeight="false" outlineLevel="0" collapsed="false">
      <c r="A47" s="16" t="s">
        <v>104</v>
      </c>
      <c r="B47" s="19" t="s">
        <v>131</v>
      </c>
      <c r="C47" s="16" t="s">
        <v>59</v>
      </c>
      <c r="D47" s="16" t="n">
        <v>64.327</v>
      </c>
      <c r="E47" s="16" t="n">
        <v>-20.121</v>
      </c>
      <c r="F47" s="17" t="n">
        <v>24</v>
      </c>
      <c r="G47" s="17" t="n">
        <v>0.011</v>
      </c>
      <c r="H47" s="17" t="n">
        <v>0.371</v>
      </c>
      <c r="I47" s="17" t="n">
        <v>0.092</v>
      </c>
      <c r="J47" s="17" t="n">
        <v>0.85</v>
      </c>
      <c r="K47" s="16" t="s">
        <v>132</v>
      </c>
      <c r="L47" s="18" t="b">
        <f aca="false">TRUE()</f>
        <v>1</v>
      </c>
      <c r="M47" s="16" t="n">
        <v>8</v>
      </c>
      <c r="N47" s="16" t="n">
        <v>0</v>
      </c>
      <c r="O47" s="16"/>
    </row>
    <row r="48" customFormat="false" ht="15" hidden="false" customHeight="false" outlineLevel="0" collapsed="false">
      <c r="A48" s="12" t="s">
        <v>104</v>
      </c>
      <c r="B48" s="12" t="s">
        <v>133</v>
      </c>
      <c r="C48" s="12" t="s">
        <v>59</v>
      </c>
      <c r="D48" s="12" t="n">
        <v>63.988</v>
      </c>
      <c r="E48" s="12" t="n">
        <v>-19.061</v>
      </c>
      <c r="F48" s="14" t="n">
        <v>17</v>
      </c>
      <c r="G48" s="14" t="n">
        <v>0.01</v>
      </c>
      <c r="H48" s="14" t="n">
        <v>0.54</v>
      </c>
      <c r="I48" s="14" t="n">
        <v>0.092</v>
      </c>
      <c r="J48" s="14" t="n">
        <v>0.42</v>
      </c>
      <c r="K48" s="12" t="s">
        <v>134</v>
      </c>
      <c r="L48" s="15" t="b">
        <f aca="false">FALSE()</f>
        <v>0</v>
      </c>
      <c r="M48" s="12"/>
      <c r="N48" s="12" t="n">
        <v>0</v>
      </c>
      <c r="O48" s="12"/>
    </row>
    <row r="49" customFormat="false" ht="15" hidden="false" customHeight="false" outlineLevel="0" collapsed="false">
      <c r="A49" s="16" t="s">
        <v>104</v>
      </c>
      <c r="B49" s="19" t="s">
        <v>135</v>
      </c>
      <c r="C49" s="16" t="s">
        <v>59</v>
      </c>
      <c r="D49" s="16" t="n">
        <v>65.814</v>
      </c>
      <c r="E49" s="16" t="n">
        <v>-16.384</v>
      </c>
      <c r="F49" s="17" t="n">
        <v>14</v>
      </c>
      <c r="G49" s="17" t="n">
        <v>0</v>
      </c>
      <c r="H49" s="17" t="n">
        <v>0.443</v>
      </c>
      <c r="I49" s="17" t="n">
        <v>0</v>
      </c>
      <c r="J49" s="17" t="n">
        <v>0.42</v>
      </c>
      <c r="K49" s="16" t="s">
        <v>136</v>
      </c>
      <c r="L49" s="18" t="b">
        <f aca="false">TRUE()</f>
        <v>1</v>
      </c>
      <c r="M49" s="16" t="n">
        <v>9</v>
      </c>
      <c r="N49" s="16" t="n">
        <v>0</v>
      </c>
      <c r="O49" s="16"/>
    </row>
    <row r="50" customFormat="false" ht="15" hidden="false" customHeight="false" outlineLevel="0" collapsed="false">
      <c r="A50" s="12" t="s">
        <v>104</v>
      </c>
      <c r="B50" s="12" t="s">
        <v>137</v>
      </c>
      <c r="C50" s="12" t="s">
        <v>59</v>
      </c>
      <c r="D50" s="12" t="n">
        <v>65.503</v>
      </c>
      <c r="E50" s="12" t="n">
        <v>-24.532</v>
      </c>
      <c r="F50" s="14"/>
      <c r="G50" s="14" t="n">
        <v>0</v>
      </c>
      <c r="H50" s="14" t="n">
        <v>0.196</v>
      </c>
      <c r="I50" s="14" t="n">
        <v>0</v>
      </c>
      <c r="J50" s="14" t="n">
        <v>0.3</v>
      </c>
      <c r="K50" s="12"/>
      <c r="L50" s="15" t="b">
        <f aca="false">FALSE()</f>
        <v>0</v>
      </c>
      <c r="M50" s="12"/>
      <c r="N50" s="12" t="n">
        <v>0</v>
      </c>
      <c r="O50" s="12"/>
    </row>
    <row r="51" customFormat="false" ht="15" hidden="false" customHeight="false" outlineLevel="0" collapsed="false">
      <c r="A51" s="16" t="s">
        <v>138</v>
      </c>
      <c r="B51" s="19" t="s">
        <v>139</v>
      </c>
      <c r="C51" s="16" t="s">
        <v>48</v>
      </c>
      <c r="D51" s="16" t="n">
        <v>27.717</v>
      </c>
      <c r="E51" s="16" t="n">
        <v>85.324</v>
      </c>
      <c r="F51" s="17" t="n">
        <v>100</v>
      </c>
      <c r="G51" s="17" t="n">
        <v>1</v>
      </c>
      <c r="H51" s="17" t="n">
        <v>0.147</v>
      </c>
      <c r="I51" s="17" t="n">
        <v>0.929</v>
      </c>
      <c r="J51" s="17" t="n">
        <v>0.85</v>
      </c>
      <c r="K51" s="16" t="s">
        <v>140</v>
      </c>
      <c r="L51" s="18" t="b">
        <f aca="false">TRUE()</f>
        <v>1</v>
      </c>
      <c r="M51" s="16" t="n">
        <v>1</v>
      </c>
      <c r="N51" s="16" t="n">
        <v>1</v>
      </c>
      <c r="O51" s="16"/>
    </row>
    <row r="52" customFormat="false" ht="15" hidden="false" customHeight="false" outlineLevel="0" collapsed="false">
      <c r="A52" s="12" t="s">
        <v>138</v>
      </c>
      <c r="B52" s="13" t="s">
        <v>141</v>
      </c>
      <c r="C52" s="12" t="s">
        <v>48</v>
      </c>
      <c r="D52" s="12" t="n">
        <v>28.209</v>
      </c>
      <c r="E52" s="12" t="n">
        <v>83.991</v>
      </c>
      <c r="F52" s="14" t="n">
        <v>95</v>
      </c>
      <c r="G52" s="14" t="n">
        <v>0.248</v>
      </c>
      <c r="H52" s="14" t="n">
        <v>0.767</v>
      </c>
      <c r="I52" s="14" t="n">
        <v>0.703</v>
      </c>
      <c r="J52" s="14" t="n">
        <v>1</v>
      </c>
      <c r="K52" s="12" t="s">
        <v>142</v>
      </c>
      <c r="L52" s="15" t="b">
        <f aca="false">TRUE()</f>
        <v>1</v>
      </c>
      <c r="M52" s="12" t="n">
        <v>2</v>
      </c>
      <c r="N52" s="12" t="n">
        <v>0</v>
      </c>
      <c r="O52" s="12" t="s">
        <v>143</v>
      </c>
    </row>
    <row r="53" customFormat="false" ht="15" hidden="false" customHeight="false" outlineLevel="0" collapsed="false">
      <c r="A53" s="16" t="s">
        <v>138</v>
      </c>
      <c r="B53" s="19" t="s">
        <v>144</v>
      </c>
      <c r="C53" s="16" t="s">
        <v>48</v>
      </c>
      <c r="D53" s="16" t="n">
        <v>26.729</v>
      </c>
      <c r="E53" s="16" t="n">
        <v>85.926</v>
      </c>
      <c r="F53" s="17" t="n">
        <v>65</v>
      </c>
      <c r="G53" s="17" t="n">
        <v>0.412</v>
      </c>
      <c r="H53" s="17" t="n">
        <v>0.123</v>
      </c>
      <c r="I53" s="17" t="n">
        <v>0.701</v>
      </c>
      <c r="J53" s="17" t="n">
        <v>0.9</v>
      </c>
      <c r="K53" s="16" t="s">
        <v>145</v>
      </c>
      <c r="L53" s="18" t="b">
        <f aca="false">TRUE()</f>
        <v>1</v>
      </c>
      <c r="M53" s="16" t="n">
        <v>4</v>
      </c>
      <c r="N53" s="16" t="n">
        <v>0</v>
      </c>
      <c r="O53" s="16"/>
    </row>
    <row r="54" customFormat="false" ht="15" hidden="false" customHeight="false" outlineLevel="0" collapsed="false">
      <c r="A54" s="12" t="s">
        <v>138</v>
      </c>
      <c r="B54" s="12" t="s">
        <v>146</v>
      </c>
      <c r="C54" s="12" t="s">
        <v>48</v>
      </c>
      <c r="D54" s="12" t="n">
        <v>27.671</v>
      </c>
      <c r="E54" s="12" t="n">
        <v>85.429</v>
      </c>
      <c r="F54" s="14" t="n">
        <v>64</v>
      </c>
      <c r="G54" s="14" t="n">
        <v>0.722</v>
      </c>
      <c r="H54" s="14" t="n">
        <v>0.094</v>
      </c>
      <c r="I54" s="14" t="n">
        <v>0.517</v>
      </c>
      <c r="J54" s="14" t="n">
        <v>0.85</v>
      </c>
      <c r="K54" s="12" t="s">
        <v>51</v>
      </c>
      <c r="L54" s="15" t="b">
        <f aca="false">FALSE()</f>
        <v>0</v>
      </c>
      <c r="M54" s="12"/>
      <c r="N54" s="12" t="n">
        <v>1</v>
      </c>
      <c r="O54" s="12"/>
    </row>
    <row r="55" customFormat="false" ht="15" hidden="false" customHeight="false" outlineLevel="0" collapsed="false">
      <c r="A55" s="16" t="s">
        <v>138</v>
      </c>
      <c r="B55" s="19" t="s">
        <v>147</v>
      </c>
      <c r="C55" s="16" t="s">
        <v>59</v>
      </c>
      <c r="D55" s="16" t="n">
        <v>27.523</v>
      </c>
      <c r="E55" s="16" t="n">
        <v>84.354</v>
      </c>
      <c r="F55" s="17" t="n">
        <v>63</v>
      </c>
      <c r="G55" s="17" t="n">
        <v>0.008</v>
      </c>
      <c r="H55" s="17" t="n">
        <v>0.755</v>
      </c>
      <c r="I55" s="17" t="n">
        <v>0.236</v>
      </c>
      <c r="J55" s="17" t="n">
        <v>0.9</v>
      </c>
      <c r="K55" s="16" t="s">
        <v>148</v>
      </c>
      <c r="L55" s="18" t="b">
        <f aca="false">TRUE()</f>
        <v>1</v>
      </c>
      <c r="M55" s="16" t="n">
        <v>7</v>
      </c>
      <c r="N55" s="16" t="n">
        <v>1</v>
      </c>
      <c r="O55" s="16"/>
    </row>
    <row r="56" customFormat="false" ht="15" hidden="false" customHeight="false" outlineLevel="0" collapsed="false">
      <c r="A56" s="12" t="s">
        <v>138</v>
      </c>
      <c r="B56" s="13" t="s">
        <v>149</v>
      </c>
      <c r="C56" s="12" t="s">
        <v>59</v>
      </c>
      <c r="D56" s="12" t="n">
        <v>27.804</v>
      </c>
      <c r="E56" s="12" t="n">
        <v>86.713</v>
      </c>
      <c r="F56" s="14" t="n">
        <v>61</v>
      </c>
      <c r="G56" s="14" t="n">
        <v>0.075</v>
      </c>
      <c r="H56" s="14" t="n">
        <v>1</v>
      </c>
      <c r="I56" s="14" t="n">
        <v>0.582</v>
      </c>
      <c r="J56" s="14" t="n">
        <v>0.59</v>
      </c>
      <c r="K56" s="12" t="s">
        <v>150</v>
      </c>
      <c r="L56" s="15" t="b">
        <f aca="false">TRUE()</f>
        <v>1</v>
      </c>
      <c r="M56" s="12" t="n">
        <v>3</v>
      </c>
      <c r="N56" s="12" t="n">
        <v>1</v>
      </c>
      <c r="O56" s="12"/>
    </row>
    <row r="57" customFormat="false" ht="15" hidden="false" customHeight="false" outlineLevel="0" collapsed="false">
      <c r="A57" s="16" t="s">
        <v>138</v>
      </c>
      <c r="B57" s="16" t="s">
        <v>151</v>
      </c>
      <c r="C57" s="16" t="s">
        <v>48</v>
      </c>
      <c r="D57" s="16" t="n">
        <v>27.673</v>
      </c>
      <c r="E57" s="16" t="n">
        <v>85.325</v>
      </c>
      <c r="F57" s="17" t="n">
        <v>61</v>
      </c>
      <c r="G57" s="17" t="n">
        <v>0.728</v>
      </c>
      <c r="H57" s="17" t="n">
        <v>0.092</v>
      </c>
      <c r="I57" s="17" t="n">
        <v>0.432</v>
      </c>
      <c r="J57" s="17" t="n">
        <v>0.85</v>
      </c>
      <c r="K57" s="16" t="s">
        <v>51</v>
      </c>
      <c r="L57" s="18" t="b">
        <f aca="false">FALSE()</f>
        <v>0</v>
      </c>
      <c r="M57" s="16"/>
      <c r="N57" s="16" t="n">
        <v>1</v>
      </c>
      <c r="O57" s="16"/>
    </row>
    <row r="58" customFormat="false" ht="15" hidden="false" customHeight="false" outlineLevel="0" collapsed="false">
      <c r="A58" s="12" t="s">
        <v>138</v>
      </c>
      <c r="B58" s="12" t="s">
        <v>152</v>
      </c>
      <c r="C58" s="12" t="s">
        <v>48</v>
      </c>
      <c r="D58" s="12" t="n">
        <v>27.715</v>
      </c>
      <c r="E58" s="12" t="n">
        <v>85.52</v>
      </c>
      <c r="F58" s="14" t="n">
        <v>53</v>
      </c>
      <c r="G58" s="14" t="n">
        <v>0.068</v>
      </c>
      <c r="H58" s="14" t="n">
        <v>0.554</v>
      </c>
      <c r="I58" s="14" t="n">
        <v>0.21</v>
      </c>
      <c r="J58" s="14" t="n">
        <v>1</v>
      </c>
      <c r="K58" s="12" t="s">
        <v>64</v>
      </c>
      <c r="L58" s="15" t="b">
        <f aca="false">FALSE()</f>
        <v>0</v>
      </c>
      <c r="M58" s="12"/>
      <c r="N58" s="12" t="n">
        <v>0</v>
      </c>
      <c r="O58" s="12" t="s">
        <v>153</v>
      </c>
    </row>
    <row r="59" customFormat="false" ht="15" hidden="false" customHeight="false" outlineLevel="0" collapsed="false">
      <c r="A59" s="16" t="s">
        <v>138</v>
      </c>
      <c r="B59" s="19" t="s">
        <v>154</v>
      </c>
      <c r="C59" s="16" t="s">
        <v>48</v>
      </c>
      <c r="D59" s="16" t="n">
        <v>29.183</v>
      </c>
      <c r="E59" s="16" t="n">
        <v>83.957</v>
      </c>
      <c r="F59" s="17" t="n">
        <v>45</v>
      </c>
      <c r="G59" s="17" t="n">
        <v>0.463</v>
      </c>
      <c r="H59" s="17" t="n">
        <v>0.663</v>
      </c>
      <c r="I59" s="17" t="n">
        <v>1</v>
      </c>
      <c r="J59" s="17" t="n">
        <v>0.4</v>
      </c>
      <c r="K59" s="16" t="s">
        <v>155</v>
      </c>
      <c r="L59" s="18" t="b">
        <f aca="false">TRUE()</f>
        <v>1</v>
      </c>
      <c r="M59" s="16" t="n">
        <v>6</v>
      </c>
      <c r="N59" s="16" t="n">
        <v>0</v>
      </c>
      <c r="O59" s="16" t="s">
        <v>156</v>
      </c>
    </row>
    <row r="60" customFormat="false" ht="15" hidden="false" customHeight="false" outlineLevel="0" collapsed="false">
      <c r="A60" s="12" t="s">
        <v>138</v>
      </c>
      <c r="B60" s="13" t="s">
        <v>157</v>
      </c>
      <c r="C60" s="12" t="s">
        <v>48</v>
      </c>
      <c r="D60" s="12" t="n">
        <v>27.469</v>
      </c>
      <c r="E60" s="12" t="n">
        <v>83.276</v>
      </c>
      <c r="F60" s="14" t="n">
        <v>44</v>
      </c>
      <c r="G60" s="14" t="n">
        <v>0.412</v>
      </c>
      <c r="H60" s="14" t="n">
        <v>0.124</v>
      </c>
      <c r="I60" s="14" t="n">
        <v>0.37</v>
      </c>
      <c r="J60" s="14" t="n">
        <v>0.9</v>
      </c>
      <c r="K60" s="12" t="s">
        <v>158</v>
      </c>
      <c r="L60" s="15" t="b">
        <f aca="false">TRUE()</f>
        <v>1</v>
      </c>
      <c r="M60" s="12" t="n">
        <v>8</v>
      </c>
      <c r="N60" s="12" t="n">
        <v>1</v>
      </c>
      <c r="O60" s="12"/>
    </row>
    <row r="61" customFormat="false" ht="15" hidden="false" customHeight="false" outlineLevel="0" collapsed="false">
      <c r="A61" s="16" t="s">
        <v>138</v>
      </c>
      <c r="B61" s="16" t="s">
        <v>159</v>
      </c>
      <c r="C61" s="16" t="s">
        <v>48</v>
      </c>
      <c r="D61" s="16" t="n">
        <v>28</v>
      </c>
      <c r="E61" s="16" t="n">
        <v>84.633</v>
      </c>
      <c r="F61" s="17" t="n">
        <v>35</v>
      </c>
      <c r="G61" s="17" t="n">
        <v>0.387</v>
      </c>
      <c r="H61" s="17" t="n">
        <v>0.103</v>
      </c>
      <c r="I61" s="17" t="n">
        <v>0.236</v>
      </c>
      <c r="J61" s="17" t="n">
        <v>0.9</v>
      </c>
      <c r="K61" s="16" t="s">
        <v>160</v>
      </c>
      <c r="L61" s="18" t="b">
        <f aca="false">FALSE()</f>
        <v>0</v>
      </c>
      <c r="M61" s="16"/>
      <c r="N61" s="16" t="n">
        <v>0</v>
      </c>
      <c r="O61" s="16"/>
    </row>
    <row r="62" customFormat="false" ht="15" hidden="false" customHeight="false" outlineLevel="0" collapsed="false">
      <c r="A62" s="12" t="s">
        <v>138</v>
      </c>
      <c r="B62" s="13" t="s">
        <v>161</v>
      </c>
      <c r="C62" s="12" t="s">
        <v>59</v>
      </c>
      <c r="D62" s="12" t="n">
        <v>28.383</v>
      </c>
      <c r="E62" s="12" t="n">
        <v>81.333</v>
      </c>
      <c r="F62" s="14" t="n">
        <v>33</v>
      </c>
      <c r="G62" s="14" t="n">
        <v>0.004</v>
      </c>
      <c r="H62" s="14" t="n">
        <v>0.516</v>
      </c>
      <c r="I62" s="14" t="n">
        <v>0.133</v>
      </c>
      <c r="J62" s="14" t="n">
        <v>0.7</v>
      </c>
      <c r="K62" s="12" t="s">
        <v>162</v>
      </c>
      <c r="L62" s="15" t="b">
        <f aca="false">TRUE()</f>
        <v>1</v>
      </c>
      <c r="M62" s="12" t="n">
        <v>5</v>
      </c>
      <c r="N62" s="12" t="n">
        <v>0</v>
      </c>
      <c r="O62" s="12"/>
    </row>
    <row r="63" customFormat="false" ht="15" hidden="false" customHeight="false" outlineLevel="0" collapsed="false">
      <c r="A63" s="16" t="s">
        <v>138</v>
      </c>
      <c r="B63" s="16" t="s">
        <v>163</v>
      </c>
      <c r="C63" s="16" t="s">
        <v>48</v>
      </c>
      <c r="D63" s="16" t="n">
        <v>27.938</v>
      </c>
      <c r="E63" s="16" t="n">
        <v>84.415</v>
      </c>
      <c r="F63" s="17" t="n">
        <v>28</v>
      </c>
      <c r="G63" s="17" t="n">
        <v>0.217</v>
      </c>
      <c r="H63" s="17" t="n">
        <v>0.099</v>
      </c>
      <c r="I63" s="17" t="n">
        <v>0.261</v>
      </c>
      <c r="J63" s="17" t="n">
        <v>0.9</v>
      </c>
      <c r="K63" s="16" t="s">
        <v>160</v>
      </c>
      <c r="L63" s="18" t="b">
        <f aca="false">FALSE()</f>
        <v>0</v>
      </c>
      <c r="M63" s="16"/>
      <c r="N63" s="16" t="n">
        <v>0</v>
      </c>
      <c r="O63" s="16"/>
    </row>
    <row r="64" customFormat="false" ht="15" hidden="false" customHeight="false" outlineLevel="0" collapsed="false">
      <c r="A64" s="12" t="s">
        <v>138</v>
      </c>
      <c r="B64" s="13" t="s">
        <v>164</v>
      </c>
      <c r="C64" s="12" t="s">
        <v>48</v>
      </c>
      <c r="D64" s="12" t="n">
        <v>26.911</v>
      </c>
      <c r="E64" s="12" t="n">
        <v>87.928</v>
      </c>
      <c r="F64" s="14" t="n">
        <v>26</v>
      </c>
      <c r="G64" s="14" t="n">
        <v>0.078</v>
      </c>
      <c r="H64" s="14" t="n">
        <v>0.138</v>
      </c>
      <c r="I64" s="14" t="n">
        <v>0.394</v>
      </c>
      <c r="J64" s="14" t="n">
        <v>0.7</v>
      </c>
      <c r="K64" s="12" t="s">
        <v>165</v>
      </c>
      <c r="L64" s="15" t="b">
        <f aca="false">TRUE()</f>
        <v>1</v>
      </c>
      <c r="M64" s="12" t="n">
        <v>9</v>
      </c>
      <c r="N64" s="12" t="n">
        <v>0</v>
      </c>
      <c r="O64" s="12"/>
    </row>
    <row r="65" customFormat="false" ht="15" hidden="false" customHeight="false" outlineLevel="0" collapsed="false">
      <c r="A65" s="16" t="s">
        <v>138</v>
      </c>
      <c r="B65" s="16" t="s">
        <v>166</v>
      </c>
      <c r="C65" s="16" t="s">
        <v>48</v>
      </c>
      <c r="D65" s="16" t="n">
        <v>27.868</v>
      </c>
      <c r="E65" s="16" t="n">
        <v>83.546</v>
      </c>
      <c r="F65" s="17" t="n">
        <v>26</v>
      </c>
      <c r="G65" s="17" t="n">
        <v>0.174</v>
      </c>
      <c r="H65" s="17" t="n">
        <v>0.113</v>
      </c>
      <c r="I65" s="17" t="n">
        <v>0.261</v>
      </c>
      <c r="J65" s="17" t="n">
        <v>0.9</v>
      </c>
      <c r="K65" s="16" t="s">
        <v>160</v>
      </c>
      <c r="L65" s="18" t="b">
        <f aca="false">FALSE()</f>
        <v>0</v>
      </c>
      <c r="M65" s="16"/>
      <c r="N65" s="16" t="n">
        <v>0</v>
      </c>
      <c r="O65" s="16"/>
    </row>
    <row r="66" customFormat="false" ht="15" hidden="false" customHeight="false" outlineLevel="0" collapsed="false">
      <c r="A66" s="12" t="s">
        <v>138</v>
      </c>
      <c r="B66" s="13" t="s">
        <v>167</v>
      </c>
      <c r="C66" s="12" t="s">
        <v>59</v>
      </c>
      <c r="D66" s="12" t="n">
        <v>29.19</v>
      </c>
      <c r="E66" s="12" t="n">
        <v>82.94</v>
      </c>
      <c r="F66" s="14" t="n">
        <v>26</v>
      </c>
      <c r="G66" s="14" t="n">
        <v>0.027</v>
      </c>
      <c r="H66" s="14" t="n">
        <v>0.561</v>
      </c>
      <c r="I66" s="14" t="n">
        <v>0.133</v>
      </c>
      <c r="J66" s="14" t="n">
        <v>0.5</v>
      </c>
      <c r="K66" s="12" t="s">
        <v>168</v>
      </c>
      <c r="L66" s="15" t="b">
        <f aca="false">TRUE()</f>
        <v>1</v>
      </c>
      <c r="M66" s="12" t="n">
        <v>10</v>
      </c>
      <c r="N66" s="12" t="n">
        <v>0</v>
      </c>
      <c r="O66" s="12"/>
    </row>
    <row r="67" customFormat="false" ht="15" hidden="false" customHeight="false" outlineLevel="0" collapsed="false">
      <c r="A67" s="16" t="s">
        <v>138</v>
      </c>
      <c r="B67" s="19" t="s">
        <v>169</v>
      </c>
      <c r="C67" s="16" t="s">
        <v>48</v>
      </c>
      <c r="D67" s="16" t="n">
        <v>26.455</v>
      </c>
      <c r="E67" s="16" t="n">
        <v>87.28</v>
      </c>
      <c r="F67" s="17" t="n">
        <v>19</v>
      </c>
      <c r="G67" s="17" t="n">
        <v>0.1</v>
      </c>
      <c r="H67" s="17" t="n">
        <v>0.122</v>
      </c>
      <c r="I67" s="17" t="n">
        <v>0.185</v>
      </c>
      <c r="J67" s="17" t="n">
        <v>0.9</v>
      </c>
      <c r="K67" s="16" t="s">
        <v>170</v>
      </c>
      <c r="L67" s="18" t="b">
        <f aca="false">TRUE()</f>
        <v>1</v>
      </c>
      <c r="M67" s="16" t="n">
        <v>11</v>
      </c>
      <c r="N67" s="16" t="n">
        <v>0</v>
      </c>
      <c r="O67" s="16"/>
    </row>
    <row r="68" customFormat="false" ht="15" hidden="false" customHeight="false" outlineLevel="0" collapsed="false">
      <c r="A68" s="12" t="s">
        <v>138</v>
      </c>
      <c r="B68" s="12" t="s">
        <v>171</v>
      </c>
      <c r="C68" s="12" t="s">
        <v>59</v>
      </c>
      <c r="D68" s="12" t="n">
        <v>29.521</v>
      </c>
      <c r="E68" s="12" t="n">
        <v>82.088</v>
      </c>
      <c r="F68" s="14"/>
      <c r="G68" s="14" t="n">
        <v>0</v>
      </c>
      <c r="H68" s="14" t="n">
        <v>0.35</v>
      </c>
      <c r="I68" s="14" t="n">
        <v>0</v>
      </c>
      <c r="J68" s="14" t="n">
        <v>0.3</v>
      </c>
      <c r="K68" s="12"/>
      <c r="L68" s="15" t="b">
        <f aca="false">FALSE()</f>
        <v>0</v>
      </c>
      <c r="M68" s="12"/>
      <c r="N68" s="12" t="n">
        <v>0</v>
      </c>
      <c r="O68" s="12"/>
    </row>
    <row r="69" customFormat="false" ht="15" hidden="false" customHeight="false" outlineLevel="0" collapsed="false">
      <c r="A69" s="16" t="s">
        <v>172</v>
      </c>
      <c r="B69" s="19" t="s">
        <v>173</v>
      </c>
      <c r="C69" s="16" t="s">
        <v>48</v>
      </c>
      <c r="D69" s="16" t="n">
        <v>48.857</v>
      </c>
      <c r="E69" s="16" t="n">
        <v>2.352</v>
      </c>
      <c r="F69" s="17" t="n">
        <v>100</v>
      </c>
      <c r="G69" s="17" t="n">
        <v>1</v>
      </c>
      <c r="H69" s="17" t="n">
        <v>0.052</v>
      </c>
      <c r="I69" s="17" t="n">
        <v>1</v>
      </c>
      <c r="J69" s="17" t="n">
        <v>0.85</v>
      </c>
      <c r="K69" s="16" t="s">
        <v>174</v>
      </c>
      <c r="L69" s="18" t="b">
        <f aca="false">TRUE()</f>
        <v>1</v>
      </c>
      <c r="M69" s="16" t="n">
        <v>1</v>
      </c>
      <c r="N69" s="16" t="n">
        <v>1</v>
      </c>
      <c r="O69" s="16"/>
    </row>
    <row r="70" customFormat="false" ht="15" hidden="false" customHeight="false" outlineLevel="0" collapsed="false">
      <c r="A70" s="12" t="s">
        <v>172</v>
      </c>
      <c r="B70" s="13" t="s">
        <v>175</v>
      </c>
      <c r="C70" s="12" t="s">
        <v>48</v>
      </c>
      <c r="D70" s="12" t="n">
        <v>45.764</v>
      </c>
      <c r="E70" s="12" t="n">
        <v>4.836</v>
      </c>
      <c r="F70" s="14" t="n">
        <v>80</v>
      </c>
      <c r="G70" s="14" t="n">
        <v>0.687</v>
      </c>
      <c r="H70" s="14" t="n">
        <v>0.065</v>
      </c>
      <c r="I70" s="14" t="n">
        <v>0.669</v>
      </c>
      <c r="J70" s="14" t="n">
        <v>1</v>
      </c>
      <c r="K70" s="12" t="s">
        <v>174</v>
      </c>
      <c r="L70" s="15" t="b">
        <f aca="false">TRUE()</f>
        <v>1</v>
      </c>
      <c r="M70" s="12" t="n">
        <v>4</v>
      </c>
      <c r="N70" s="12" t="n">
        <v>1</v>
      </c>
      <c r="O70" s="12"/>
    </row>
    <row r="71" customFormat="false" ht="15" hidden="false" customHeight="false" outlineLevel="0" collapsed="false">
      <c r="A71" s="16" t="s">
        <v>172</v>
      </c>
      <c r="B71" s="19" t="s">
        <v>176</v>
      </c>
      <c r="C71" s="16" t="s">
        <v>59</v>
      </c>
      <c r="D71" s="16" t="n">
        <v>45.772</v>
      </c>
      <c r="E71" s="16" t="n">
        <v>2.964</v>
      </c>
      <c r="F71" s="17" t="n">
        <v>78</v>
      </c>
      <c r="G71" s="17" t="n">
        <v>0.02</v>
      </c>
      <c r="H71" s="17" t="n">
        <v>1</v>
      </c>
      <c r="I71" s="17" t="n">
        <v>0.029</v>
      </c>
      <c r="J71" s="17" t="n">
        <v>0.9</v>
      </c>
      <c r="K71" s="16" t="s">
        <v>177</v>
      </c>
      <c r="L71" s="18" t="b">
        <f aca="false">TRUE()</f>
        <v>1</v>
      </c>
      <c r="M71" s="16" t="n">
        <v>2</v>
      </c>
      <c r="N71" s="16" t="n">
        <v>1</v>
      </c>
      <c r="O71" s="16"/>
    </row>
    <row r="72" customFormat="false" ht="15" hidden="false" customHeight="false" outlineLevel="0" collapsed="false">
      <c r="A72" s="12" t="s">
        <v>172</v>
      </c>
      <c r="B72" s="13" t="s">
        <v>178</v>
      </c>
      <c r="C72" s="12" t="s">
        <v>48</v>
      </c>
      <c r="D72" s="12" t="n">
        <v>44.838</v>
      </c>
      <c r="E72" s="12" t="n">
        <v>-0.579</v>
      </c>
      <c r="F72" s="14" t="n">
        <v>64</v>
      </c>
      <c r="G72" s="14" t="n">
        <v>0.579</v>
      </c>
      <c r="H72" s="14" t="n">
        <v>0.049</v>
      </c>
      <c r="I72" s="14" t="n">
        <v>0.507</v>
      </c>
      <c r="J72" s="14" t="n">
        <v>1</v>
      </c>
      <c r="K72" s="12" t="s">
        <v>174</v>
      </c>
      <c r="L72" s="15" t="b">
        <f aca="false">TRUE()</f>
        <v>1</v>
      </c>
      <c r="M72" s="12" t="n">
        <v>6</v>
      </c>
      <c r="N72" s="12" t="n">
        <v>1</v>
      </c>
      <c r="O72" s="12"/>
    </row>
    <row r="73" customFormat="false" ht="15" hidden="false" customHeight="false" outlineLevel="0" collapsed="false">
      <c r="A73" s="16" t="s">
        <v>172</v>
      </c>
      <c r="B73" s="19" t="s">
        <v>179</v>
      </c>
      <c r="C73" s="16" t="s">
        <v>59</v>
      </c>
      <c r="D73" s="16" t="n">
        <v>43.5</v>
      </c>
      <c r="E73" s="16" t="n">
        <v>4.42</v>
      </c>
      <c r="F73" s="17" t="n">
        <v>58</v>
      </c>
      <c r="G73" s="17" t="n">
        <v>0.004</v>
      </c>
      <c r="H73" s="17" t="n">
        <v>0.625</v>
      </c>
      <c r="I73" s="17" t="n">
        <v>0.244</v>
      </c>
      <c r="J73" s="17" t="n">
        <v>1</v>
      </c>
      <c r="K73" s="16" t="s">
        <v>53</v>
      </c>
      <c r="L73" s="18" t="b">
        <f aca="false">TRUE()</f>
        <v>1</v>
      </c>
      <c r="M73" s="16" t="n">
        <v>3</v>
      </c>
      <c r="N73" s="16" t="n">
        <v>0</v>
      </c>
      <c r="O73" s="16"/>
    </row>
    <row r="74" customFormat="false" ht="15" hidden="false" customHeight="false" outlineLevel="0" collapsed="false">
      <c r="A74" s="12" t="s">
        <v>172</v>
      </c>
      <c r="B74" s="12" t="s">
        <v>180</v>
      </c>
      <c r="C74" s="12" t="s">
        <v>48</v>
      </c>
      <c r="D74" s="12" t="n">
        <v>43.297</v>
      </c>
      <c r="E74" s="12" t="n">
        <v>5.37</v>
      </c>
      <c r="F74" s="14" t="n">
        <v>55</v>
      </c>
      <c r="G74" s="14" t="n">
        <v>0.402</v>
      </c>
      <c r="H74" s="14" t="n">
        <v>0.277</v>
      </c>
      <c r="I74" s="14" t="n">
        <v>0.445</v>
      </c>
      <c r="J74" s="14" t="n">
        <v>1</v>
      </c>
      <c r="K74" s="12" t="s">
        <v>181</v>
      </c>
      <c r="L74" s="15" t="b">
        <f aca="false">FALSE()</f>
        <v>0</v>
      </c>
      <c r="M74" s="12"/>
      <c r="N74" s="12" t="n">
        <v>0</v>
      </c>
      <c r="O74" s="12"/>
    </row>
    <row r="75" customFormat="false" ht="15" hidden="false" customHeight="false" outlineLevel="0" collapsed="false">
      <c r="A75" s="16" t="s">
        <v>172</v>
      </c>
      <c r="B75" s="19" t="s">
        <v>182</v>
      </c>
      <c r="C75" s="16" t="s">
        <v>48</v>
      </c>
      <c r="D75" s="16" t="n">
        <v>48.583</v>
      </c>
      <c r="E75" s="16" t="n">
        <v>7.748</v>
      </c>
      <c r="F75" s="17" t="n">
        <v>54</v>
      </c>
      <c r="G75" s="17" t="n">
        <v>0.532</v>
      </c>
      <c r="H75" s="17" t="n">
        <v>0.05</v>
      </c>
      <c r="I75" s="17" t="n">
        <v>0.391</v>
      </c>
      <c r="J75" s="17" t="n">
        <v>1</v>
      </c>
      <c r="K75" s="16" t="s">
        <v>51</v>
      </c>
      <c r="L75" s="18" t="b">
        <f aca="false">TRUE()</f>
        <v>1</v>
      </c>
      <c r="M75" s="16" t="n">
        <v>10</v>
      </c>
      <c r="N75" s="16" t="n">
        <v>1</v>
      </c>
      <c r="O75" s="16"/>
    </row>
    <row r="76" customFormat="false" ht="15" hidden="false" customHeight="false" outlineLevel="0" collapsed="false">
      <c r="A76" s="12" t="s">
        <v>172</v>
      </c>
      <c r="B76" s="13" t="s">
        <v>183</v>
      </c>
      <c r="C76" s="12" t="s">
        <v>59</v>
      </c>
      <c r="D76" s="12" t="n">
        <v>43.75</v>
      </c>
      <c r="E76" s="12" t="n">
        <v>6.36</v>
      </c>
      <c r="F76" s="14" t="n">
        <v>52</v>
      </c>
      <c r="G76" s="14" t="n">
        <v>0.004</v>
      </c>
      <c r="H76" s="14" t="n">
        <v>0.664</v>
      </c>
      <c r="I76" s="14" t="n">
        <v>0.029</v>
      </c>
      <c r="J76" s="14" t="n">
        <v>0.9</v>
      </c>
      <c r="K76" s="12" t="s">
        <v>60</v>
      </c>
      <c r="L76" s="15" t="b">
        <f aca="false">TRUE()</f>
        <v>1</v>
      </c>
      <c r="M76" s="12" t="n">
        <v>5</v>
      </c>
      <c r="N76" s="12" t="n">
        <v>0</v>
      </c>
      <c r="O76" s="12"/>
    </row>
    <row r="77" customFormat="false" ht="15" hidden="false" customHeight="false" outlineLevel="0" collapsed="false">
      <c r="A77" s="16" t="s">
        <v>172</v>
      </c>
      <c r="B77" s="19" t="s">
        <v>184</v>
      </c>
      <c r="C77" s="16" t="s">
        <v>48</v>
      </c>
      <c r="D77" s="16" t="n">
        <v>43.604</v>
      </c>
      <c r="E77" s="16" t="n">
        <v>1.444</v>
      </c>
      <c r="F77" s="17" t="n">
        <v>51</v>
      </c>
      <c r="G77" s="17" t="n">
        <v>0.496</v>
      </c>
      <c r="H77" s="17" t="n">
        <v>0.052</v>
      </c>
      <c r="I77" s="17" t="n">
        <v>0.373</v>
      </c>
      <c r="J77" s="17" t="n">
        <v>1</v>
      </c>
      <c r="K77" s="16" t="s">
        <v>185</v>
      </c>
      <c r="L77" s="18" t="b">
        <f aca="false">TRUE()</f>
        <v>1</v>
      </c>
      <c r="M77" s="16" t="n">
        <v>11</v>
      </c>
      <c r="N77" s="16" t="n">
        <v>1</v>
      </c>
      <c r="O77" s="16"/>
    </row>
    <row r="78" customFormat="false" ht="15" hidden="false" customHeight="false" outlineLevel="0" collapsed="false">
      <c r="A78" s="12" t="s">
        <v>172</v>
      </c>
      <c r="B78" s="13" t="s">
        <v>186</v>
      </c>
      <c r="C78" s="12" t="s">
        <v>48</v>
      </c>
      <c r="D78" s="12" t="n">
        <v>49.258</v>
      </c>
      <c r="E78" s="12" t="n">
        <v>4.032</v>
      </c>
      <c r="F78" s="14" t="n">
        <v>51</v>
      </c>
      <c r="G78" s="14" t="n">
        <v>0.477</v>
      </c>
      <c r="H78" s="14" t="n">
        <v>0.052</v>
      </c>
      <c r="I78" s="14" t="n">
        <v>0.384</v>
      </c>
      <c r="J78" s="14" t="n">
        <v>1</v>
      </c>
      <c r="K78" s="12" t="s">
        <v>51</v>
      </c>
      <c r="L78" s="15" t="b">
        <f aca="false">TRUE()</f>
        <v>1</v>
      </c>
      <c r="M78" s="12" t="n">
        <v>14</v>
      </c>
      <c r="N78" s="12" t="n">
        <v>2</v>
      </c>
      <c r="O78" s="12"/>
    </row>
    <row r="79" customFormat="false" ht="15" hidden="false" customHeight="false" outlineLevel="0" collapsed="false">
      <c r="A79" s="16" t="s">
        <v>172</v>
      </c>
      <c r="B79" s="19" t="s">
        <v>187</v>
      </c>
      <c r="C79" s="16" t="s">
        <v>48</v>
      </c>
      <c r="D79" s="16" t="n">
        <v>45.923</v>
      </c>
      <c r="E79" s="16" t="n">
        <v>6.869</v>
      </c>
      <c r="F79" s="17" t="n">
        <v>50</v>
      </c>
      <c r="G79" s="17" t="n">
        <v>0.098</v>
      </c>
      <c r="H79" s="17" t="n">
        <v>0.641</v>
      </c>
      <c r="I79" s="17" t="n">
        <v>0.228</v>
      </c>
      <c r="J79" s="17" t="n">
        <v>0.85</v>
      </c>
      <c r="K79" s="16" t="s">
        <v>60</v>
      </c>
      <c r="L79" s="18" t="b">
        <f aca="false">TRUE()</f>
        <v>1</v>
      </c>
      <c r="M79" s="16" t="n">
        <v>9</v>
      </c>
      <c r="N79" s="16" t="n">
        <v>0</v>
      </c>
      <c r="O79" s="16"/>
    </row>
    <row r="80" customFormat="false" ht="15" hidden="false" customHeight="false" outlineLevel="0" collapsed="false">
      <c r="A80" s="12" t="s">
        <v>172</v>
      </c>
      <c r="B80" s="13" t="s">
        <v>188</v>
      </c>
      <c r="C80" s="12" t="s">
        <v>48</v>
      </c>
      <c r="D80" s="12" t="n">
        <v>47.322</v>
      </c>
      <c r="E80" s="12" t="n">
        <v>5.041</v>
      </c>
      <c r="F80" s="14" t="n">
        <v>49</v>
      </c>
      <c r="G80" s="14" t="n">
        <v>0.419</v>
      </c>
      <c r="H80" s="14" t="n">
        <v>0.055</v>
      </c>
      <c r="I80" s="14" t="n">
        <v>0.409</v>
      </c>
      <c r="J80" s="14" t="n">
        <v>1</v>
      </c>
      <c r="K80" s="12" t="s">
        <v>51</v>
      </c>
      <c r="L80" s="15" t="b">
        <f aca="false">TRUE()</f>
        <v>1</v>
      </c>
      <c r="M80" s="12" t="n">
        <v>15</v>
      </c>
      <c r="N80" s="12" t="n">
        <v>1</v>
      </c>
      <c r="O80" s="12"/>
    </row>
    <row r="81" customFormat="false" ht="15" hidden="false" customHeight="false" outlineLevel="0" collapsed="false">
      <c r="A81" s="16" t="s">
        <v>172</v>
      </c>
      <c r="B81" s="19" t="s">
        <v>189</v>
      </c>
      <c r="C81" s="16" t="s">
        <v>48</v>
      </c>
      <c r="D81" s="16" t="n">
        <v>48.39</v>
      </c>
      <c r="E81" s="16" t="n">
        <v>-4.486</v>
      </c>
      <c r="F81" s="17" t="n">
        <v>46</v>
      </c>
      <c r="G81" s="17" t="n">
        <v>0.205</v>
      </c>
      <c r="H81" s="17" t="n">
        <v>0.416</v>
      </c>
      <c r="I81" s="17" t="n">
        <v>0.268</v>
      </c>
      <c r="J81" s="17" t="n">
        <v>1</v>
      </c>
      <c r="K81" s="16" t="s">
        <v>190</v>
      </c>
      <c r="L81" s="18" t="b">
        <f aca="false">TRUE()</f>
        <v>1</v>
      </c>
      <c r="M81" s="16" t="n">
        <v>7</v>
      </c>
      <c r="N81" s="16" t="n">
        <v>0</v>
      </c>
      <c r="O81" s="16"/>
    </row>
    <row r="82" customFormat="false" ht="15" hidden="false" customHeight="false" outlineLevel="0" collapsed="false">
      <c r="A82" s="12" t="s">
        <v>172</v>
      </c>
      <c r="B82" s="12" t="s">
        <v>191</v>
      </c>
      <c r="C82" s="12" t="s">
        <v>48</v>
      </c>
      <c r="D82" s="12" t="n">
        <v>43.677</v>
      </c>
      <c r="E82" s="12" t="n">
        <v>4.628</v>
      </c>
      <c r="F82" s="14" t="n">
        <v>45</v>
      </c>
      <c r="G82" s="14" t="n">
        <v>0.377</v>
      </c>
      <c r="H82" s="14" t="n">
        <v>0.225</v>
      </c>
      <c r="I82" s="14" t="n">
        <v>0.307</v>
      </c>
      <c r="J82" s="14" t="n">
        <v>1</v>
      </c>
      <c r="K82" s="12" t="s">
        <v>192</v>
      </c>
      <c r="L82" s="15" t="b">
        <f aca="false">FALSE()</f>
        <v>0</v>
      </c>
      <c r="M82" s="12"/>
      <c r="N82" s="12" t="n">
        <v>1</v>
      </c>
      <c r="O82" s="12"/>
    </row>
    <row r="83" customFormat="false" ht="15" hidden="false" customHeight="false" outlineLevel="0" collapsed="false">
      <c r="A83" s="16" t="s">
        <v>172</v>
      </c>
      <c r="B83" s="16" t="s">
        <v>193</v>
      </c>
      <c r="C83" s="16" t="s">
        <v>48</v>
      </c>
      <c r="D83" s="16" t="n">
        <v>43.838</v>
      </c>
      <c r="E83" s="16" t="n">
        <v>4.361</v>
      </c>
      <c r="F83" s="17" t="n">
        <v>44</v>
      </c>
      <c r="G83" s="17" t="n">
        <v>0.445</v>
      </c>
      <c r="H83" s="17" t="n">
        <v>0.058</v>
      </c>
      <c r="I83" s="17" t="n">
        <v>0.293</v>
      </c>
      <c r="J83" s="17" t="n">
        <v>1</v>
      </c>
      <c r="K83" s="16" t="s">
        <v>51</v>
      </c>
      <c r="L83" s="18" t="b">
        <f aca="false">FALSE()</f>
        <v>0</v>
      </c>
      <c r="M83" s="16"/>
      <c r="N83" s="16" t="n">
        <v>1</v>
      </c>
      <c r="O83" s="16" t="s">
        <v>194</v>
      </c>
    </row>
    <row r="84" customFormat="false" ht="15" hidden="false" customHeight="false" outlineLevel="0" collapsed="false">
      <c r="A84" s="12" t="s">
        <v>172</v>
      </c>
      <c r="B84" s="13" t="s">
        <v>195</v>
      </c>
      <c r="C84" s="12" t="s">
        <v>48</v>
      </c>
      <c r="D84" s="12" t="n">
        <v>48.636</v>
      </c>
      <c r="E84" s="12" t="n">
        <v>-1.511</v>
      </c>
      <c r="F84" s="14" t="n">
        <v>43</v>
      </c>
      <c r="G84" s="14" t="n">
        <v>0.297</v>
      </c>
      <c r="H84" s="14" t="n">
        <v>0.48</v>
      </c>
      <c r="I84" s="14" t="n">
        <v>0.187</v>
      </c>
      <c r="J84" s="14" t="n">
        <v>0.85</v>
      </c>
      <c r="K84" s="12" t="s">
        <v>196</v>
      </c>
      <c r="L84" s="15" t="b">
        <f aca="false">TRUE()</f>
        <v>1</v>
      </c>
      <c r="M84" s="12" t="n">
        <v>17</v>
      </c>
      <c r="N84" s="12" t="n">
        <v>1</v>
      </c>
      <c r="O84" s="12"/>
    </row>
    <row r="85" customFormat="false" ht="15" hidden="false" customHeight="false" outlineLevel="0" collapsed="false">
      <c r="A85" s="16" t="s">
        <v>172</v>
      </c>
      <c r="B85" s="16" t="s">
        <v>197</v>
      </c>
      <c r="C85" s="16" t="s">
        <v>48</v>
      </c>
      <c r="D85" s="16" t="n">
        <v>43.7</v>
      </c>
      <c r="E85" s="16" t="n">
        <v>7.268</v>
      </c>
      <c r="F85" s="17" t="n">
        <v>42</v>
      </c>
      <c r="G85" s="17" t="n">
        <v>0.42</v>
      </c>
      <c r="H85" s="17" t="n">
        <v>0.178</v>
      </c>
      <c r="I85" s="17" t="n">
        <v>0.391</v>
      </c>
      <c r="J85" s="17" t="n">
        <v>0.85</v>
      </c>
      <c r="K85" s="16" t="s">
        <v>124</v>
      </c>
      <c r="L85" s="18" t="b">
        <f aca="false">FALSE()</f>
        <v>0</v>
      </c>
      <c r="M85" s="16"/>
      <c r="N85" s="16" t="n">
        <v>1</v>
      </c>
      <c r="O85" s="16"/>
    </row>
    <row r="86" customFormat="false" ht="15" hidden="false" customHeight="false" outlineLevel="0" collapsed="false">
      <c r="A86" s="12" t="s">
        <v>172</v>
      </c>
      <c r="B86" s="13" t="s">
        <v>198</v>
      </c>
      <c r="C86" s="12" t="s">
        <v>48</v>
      </c>
      <c r="D86" s="12" t="n">
        <v>41.387</v>
      </c>
      <c r="E86" s="12" t="n">
        <v>9.159</v>
      </c>
      <c r="F86" s="14" t="n">
        <v>42</v>
      </c>
      <c r="G86" s="14" t="n">
        <v>0.192</v>
      </c>
      <c r="H86" s="14" t="n">
        <v>0.569</v>
      </c>
      <c r="I86" s="14" t="n">
        <v>0.201</v>
      </c>
      <c r="J86" s="14" t="n">
        <v>0.77</v>
      </c>
      <c r="K86" s="12" t="s">
        <v>199</v>
      </c>
      <c r="L86" s="15" t="b">
        <f aca="false">TRUE()</f>
        <v>1</v>
      </c>
      <c r="M86" s="12" t="n">
        <v>13</v>
      </c>
      <c r="N86" s="12" t="n">
        <v>0</v>
      </c>
      <c r="O86" s="12"/>
    </row>
    <row r="87" customFormat="false" ht="15" hidden="false" customHeight="false" outlineLevel="0" collapsed="false">
      <c r="A87" s="16" t="s">
        <v>172</v>
      </c>
      <c r="B87" s="19" t="s">
        <v>200</v>
      </c>
      <c r="C87" s="16" t="s">
        <v>48</v>
      </c>
      <c r="D87" s="16" t="n">
        <v>43.092</v>
      </c>
      <c r="E87" s="16" t="n">
        <v>-0.046</v>
      </c>
      <c r="F87" s="17" t="n">
        <v>41</v>
      </c>
      <c r="G87" s="17" t="n">
        <v>0.154</v>
      </c>
      <c r="H87" s="17" t="n">
        <v>0.483</v>
      </c>
      <c r="I87" s="17" t="n">
        <v>0.174</v>
      </c>
      <c r="J87" s="17" t="n">
        <v>0.9</v>
      </c>
      <c r="K87" s="16" t="s">
        <v>201</v>
      </c>
      <c r="L87" s="18" t="b">
        <f aca="false">TRUE()</f>
        <v>1</v>
      </c>
      <c r="M87" s="16" t="n">
        <v>8</v>
      </c>
      <c r="N87" s="16" t="n">
        <v>0</v>
      </c>
      <c r="O87" s="16"/>
    </row>
    <row r="88" customFormat="false" ht="15" hidden="false" customHeight="false" outlineLevel="0" collapsed="false">
      <c r="A88" s="12" t="s">
        <v>172</v>
      </c>
      <c r="B88" s="12" t="s">
        <v>202</v>
      </c>
      <c r="C88" s="12" t="s">
        <v>48</v>
      </c>
      <c r="D88" s="12" t="n">
        <v>43.493</v>
      </c>
      <c r="E88" s="12" t="n">
        <v>-1.475</v>
      </c>
      <c r="F88" s="14" t="n">
        <v>40</v>
      </c>
      <c r="G88" s="14" t="n">
        <v>0.236</v>
      </c>
      <c r="H88" s="14" t="n">
        <v>0.094</v>
      </c>
      <c r="I88" s="14" t="n">
        <v>0.397</v>
      </c>
      <c r="J88" s="14" t="n">
        <v>1</v>
      </c>
      <c r="K88" s="12" t="s">
        <v>102</v>
      </c>
      <c r="L88" s="15" t="b">
        <f aca="false">FALSE()</f>
        <v>0</v>
      </c>
      <c r="M88" s="12"/>
      <c r="N88" s="12" t="n">
        <v>0</v>
      </c>
      <c r="O88" s="12"/>
    </row>
    <row r="89" customFormat="false" ht="15" hidden="false" customHeight="false" outlineLevel="0" collapsed="false">
      <c r="A89" s="16" t="s">
        <v>172</v>
      </c>
      <c r="B89" s="19" t="s">
        <v>203</v>
      </c>
      <c r="C89" s="16" t="s">
        <v>48</v>
      </c>
      <c r="D89" s="16" t="n">
        <v>47.413</v>
      </c>
      <c r="E89" s="16" t="n">
        <v>0.982</v>
      </c>
      <c r="F89" s="17" t="n">
        <v>38</v>
      </c>
      <c r="G89" s="17" t="n">
        <v>0.464</v>
      </c>
      <c r="H89" s="17" t="n">
        <v>0.094</v>
      </c>
      <c r="I89" s="17" t="n">
        <v>0.268</v>
      </c>
      <c r="J89" s="17" t="n">
        <v>0.85</v>
      </c>
      <c r="K89" s="16" t="s">
        <v>204</v>
      </c>
      <c r="L89" s="18" t="b">
        <f aca="false">TRUE()</f>
        <v>1</v>
      </c>
      <c r="M89" s="16" t="n">
        <v>12</v>
      </c>
      <c r="N89" s="16" t="n">
        <v>1</v>
      </c>
      <c r="O89" s="16"/>
    </row>
    <row r="90" customFormat="false" ht="15" hidden="false" customHeight="false" outlineLevel="0" collapsed="false">
      <c r="A90" s="12" t="s">
        <v>172</v>
      </c>
      <c r="B90" s="12" t="s">
        <v>205</v>
      </c>
      <c r="C90" s="12" t="s">
        <v>48</v>
      </c>
      <c r="D90" s="12" t="n">
        <v>43.949</v>
      </c>
      <c r="E90" s="12" t="n">
        <v>4.806</v>
      </c>
      <c r="F90" s="14" t="n">
        <v>38</v>
      </c>
      <c r="G90" s="14" t="n">
        <v>0.442</v>
      </c>
      <c r="H90" s="14" t="n">
        <v>0.052</v>
      </c>
      <c r="I90" s="14" t="n">
        <v>0.307</v>
      </c>
      <c r="J90" s="14" t="n">
        <v>0.85</v>
      </c>
      <c r="K90" s="12" t="s">
        <v>51</v>
      </c>
      <c r="L90" s="15" t="b">
        <f aca="false">FALSE()</f>
        <v>0</v>
      </c>
      <c r="M90" s="12"/>
      <c r="N90" s="12" t="n">
        <v>1</v>
      </c>
      <c r="O90" s="12"/>
    </row>
    <row r="91" customFormat="false" ht="15" hidden="false" customHeight="false" outlineLevel="0" collapsed="false">
      <c r="A91" s="16" t="s">
        <v>172</v>
      </c>
      <c r="B91" s="16" t="s">
        <v>206</v>
      </c>
      <c r="C91" s="16" t="s">
        <v>48</v>
      </c>
      <c r="D91" s="16" t="n">
        <v>49.443</v>
      </c>
      <c r="E91" s="16" t="n">
        <v>1.099</v>
      </c>
      <c r="F91" s="17" t="n">
        <v>37</v>
      </c>
      <c r="G91" s="17" t="n">
        <v>0.35</v>
      </c>
      <c r="H91" s="17" t="n">
        <v>0.052</v>
      </c>
      <c r="I91" s="17" t="n">
        <v>0.268</v>
      </c>
      <c r="J91" s="17" t="n">
        <v>1</v>
      </c>
      <c r="K91" s="16" t="s">
        <v>51</v>
      </c>
      <c r="L91" s="18" t="b">
        <f aca="false">FALSE()</f>
        <v>0</v>
      </c>
      <c r="M91" s="16"/>
      <c r="N91" s="16" t="n">
        <v>0</v>
      </c>
      <c r="O91" s="16"/>
    </row>
    <row r="92" customFormat="false" ht="15" hidden="false" customHeight="false" outlineLevel="0" collapsed="false">
      <c r="A92" s="12" t="s">
        <v>172</v>
      </c>
      <c r="B92" s="12" t="s">
        <v>207</v>
      </c>
      <c r="C92" s="12" t="s">
        <v>48</v>
      </c>
      <c r="D92" s="12" t="n">
        <v>47.024</v>
      </c>
      <c r="E92" s="12" t="n">
        <v>4.84</v>
      </c>
      <c r="F92" s="14" t="n">
        <v>36</v>
      </c>
      <c r="G92" s="14" t="n">
        <v>0.232</v>
      </c>
      <c r="H92" s="14" t="n">
        <v>0.058</v>
      </c>
      <c r="I92" s="14" t="n">
        <v>0.358</v>
      </c>
      <c r="J92" s="14" t="n">
        <v>1</v>
      </c>
      <c r="K92" s="12" t="s">
        <v>51</v>
      </c>
      <c r="L92" s="15" t="b">
        <f aca="false">FALSE()</f>
        <v>0</v>
      </c>
      <c r="M92" s="12"/>
      <c r="N92" s="12" t="n">
        <v>0</v>
      </c>
      <c r="O92" s="12"/>
    </row>
    <row r="93" customFormat="false" ht="15" hidden="false" customHeight="false" outlineLevel="0" collapsed="false">
      <c r="A93" s="16" t="s">
        <v>172</v>
      </c>
      <c r="B93" s="16" t="s">
        <v>208</v>
      </c>
      <c r="C93" s="16" t="s">
        <v>48</v>
      </c>
      <c r="D93" s="16" t="n">
        <v>45.053</v>
      </c>
      <c r="E93" s="16" t="n">
        <v>1.17</v>
      </c>
      <c r="F93" s="17" t="n">
        <v>35</v>
      </c>
      <c r="G93" s="17" t="n">
        <v>0.226</v>
      </c>
      <c r="H93" s="17" t="n">
        <v>0.348</v>
      </c>
      <c r="I93" s="17" t="n">
        <v>0.187</v>
      </c>
      <c r="J93" s="17" t="n">
        <v>0.9</v>
      </c>
      <c r="K93" s="16" t="s">
        <v>204</v>
      </c>
      <c r="L93" s="18" t="b">
        <f aca="false">FALSE()</f>
        <v>0</v>
      </c>
      <c r="M93" s="16"/>
      <c r="N93" s="16" t="n">
        <v>1</v>
      </c>
      <c r="O93" s="16"/>
    </row>
    <row r="94" customFormat="false" ht="15" hidden="false" customHeight="false" outlineLevel="0" collapsed="false">
      <c r="A94" s="12" t="s">
        <v>172</v>
      </c>
      <c r="B94" s="12" t="s">
        <v>209</v>
      </c>
      <c r="C94" s="12" t="s">
        <v>48</v>
      </c>
      <c r="D94" s="12" t="n">
        <v>49.894</v>
      </c>
      <c r="E94" s="12" t="n">
        <v>2.296</v>
      </c>
      <c r="F94" s="14" t="n">
        <v>34</v>
      </c>
      <c r="G94" s="14" t="n">
        <v>0.319</v>
      </c>
      <c r="H94" s="14" t="n">
        <v>0.226</v>
      </c>
      <c r="I94" s="14" t="n">
        <v>0.128</v>
      </c>
      <c r="J94" s="14" t="n">
        <v>1</v>
      </c>
      <c r="K94" s="12" t="s">
        <v>192</v>
      </c>
      <c r="L94" s="15" t="b">
        <f aca="false">FALSE()</f>
        <v>0</v>
      </c>
      <c r="M94" s="12"/>
      <c r="N94" s="12" t="n">
        <v>1</v>
      </c>
      <c r="O94" s="12"/>
    </row>
    <row r="95" customFormat="false" ht="15" hidden="false" customHeight="false" outlineLevel="0" collapsed="false">
      <c r="A95" s="16" t="s">
        <v>172</v>
      </c>
      <c r="B95" s="16" t="s">
        <v>210</v>
      </c>
      <c r="C95" s="16" t="s">
        <v>48</v>
      </c>
      <c r="D95" s="16" t="n">
        <v>48.692</v>
      </c>
      <c r="E95" s="16" t="n">
        <v>6.184</v>
      </c>
      <c r="F95" s="17" t="n">
        <v>34</v>
      </c>
      <c r="G95" s="17" t="n">
        <v>0.336</v>
      </c>
      <c r="H95" s="17" t="n">
        <v>0.052</v>
      </c>
      <c r="I95" s="17" t="n">
        <v>0.227</v>
      </c>
      <c r="J95" s="17" t="n">
        <v>1</v>
      </c>
      <c r="K95" s="16" t="s">
        <v>51</v>
      </c>
      <c r="L95" s="18" t="b">
        <f aca="false">FALSE()</f>
        <v>0</v>
      </c>
      <c r="M95" s="16"/>
      <c r="N95" s="16" t="n">
        <v>1</v>
      </c>
      <c r="O95" s="16"/>
    </row>
    <row r="96" customFormat="false" ht="15" hidden="false" customHeight="false" outlineLevel="0" collapsed="false">
      <c r="A96" s="12" t="s">
        <v>172</v>
      </c>
      <c r="B96" s="12" t="s">
        <v>211</v>
      </c>
      <c r="C96" s="12" t="s">
        <v>48</v>
      </c>
      <c r="D96" s="12" t="n">
        <v>48.649</v>
      </c>
      <c r="E96" s="12" t="n">
        <v>-2.026</v>
      </c>
      <c r="F96" s="14" t="n">
        <v>33</v>
      </c>
      <c r="G96" s="14" t="n">
        <v>0.238</v>
      </c>
      <c r="H96" s="14" t="n">
        <v>0.188</v>
      </c>
      <c r="I96" s="14" t="n">
        <v>0.242</v>
      </c>
      <c r="J96" s="14" t="n">
        <v>1</v>
      </c>
      <c r="K96" s="12" t="s">
        <v>102</v>
      </c>
      <c r="L96" s="15" t="b">
        <f aca="false">FALSE()</f>
        <v>0</v>
      </c>
      <c r="M96" s="12"/>
      <c r="N96" s="12" t="n">
        <v>0</v>
      </c>
      <c r="O96" s="12"/>
    </row>
    <row r="97" customFormat="false" ht="15" hidden="false" customHeight="false" outlineLevel="0" collapsed="false">
      <c r="A97" s="16" t="s">
        <v>172</v>
      </c>
      <c r="B97" s="16" t="s">
        <v>212</v>
      </c>
      <c r="C97" s="16" t="s">
        <v>48</v>
      </c>
      <c r="D97" s="16" t="n">
        <v>48.805</v>
      </c>
      <c r="E97" s="16" t="n">
        <v>2.13</v>
      </c>
      <c r="F97" s="17" t="n">
        <v>32</v>
      </c>
      <c r="G97" s="17" t="n">
        <v>0.42</v>
      </c>
      <c r="H97" s="17" t="n">
        <v>0.093</v>
      </c>
      <c r="I97" s="17" t="n">
        <v>0.165</v>
      </c>
      <c r="J97" s="17" t="n">
        <v>0.85</v>
      </c>
      <c r="K97" s="16" t="s">
        <v>204</v>
      </c>
      <c r="L97" s="18" t="b">
        <f aca="false">FALSE()</f>
        <v>0</v>
      </c>
      <c r="M97" s="16"/>
      <c r="N97" s="16" t="n">
        <v>1</v>
      </c>
      <c r="O97" s="16"/>
    </row>
    <row r="98" customFormat="false" ht="15" hidden="false" customHeight="false" outlineLevel="0" collapsed="false">
      <c r="A98" s="12" t="s">
        <v>172</v>
      </c>
      <c r="B98" s="12" t="s">
        <v>213</v>
      </c>
      <c r="C98" s="12" t="s">
        <v>48</v>
      </c>
      <c r="D98" s="12" t="n">
        <v>45.899</v>
      </c>
      <c r="E98" s="12" t="n">
        <v>6.129</v>
      </c>
      <c r="F98" s="14" t="n">
        <v>32</v>
      </c>
      <c r="G98" s="14" t="n">
        <v>0.238</v>
      </c>
      <c r="H98" s="14" t="n">
        <v>0.282</v>
      </c>
      <c r="I98" s="14" t="n">
        <v>0.242</v>
      </c>
      <c r="J98" s="14" t="n">
        <v>0.85</v>
      </c>
      <c r="K98" s="12" t="s">
        <v>214</v>
      </c>
      <c r="L98" s="15" t="b">
        <f aca="false">FALSE()</f>
        <v>0</v>
      </c>
      <c r="M98" s="12"/>
      <c r="N98" s="12" t="n">
        <v>0</v>
      </c>
      <c r="O98" s="12"/>
    </row>
    <row r="99" customFormat="false" ht="15" hidden="false" customHeight="false" outlineLevel="0" collapsed="false">
      <c r="A99" s="16" t="s">
        <v>172</v>
      </c>
      <c r="B99" s="16" t="s">
        <v>215</v>
      </c>
      <c r="C99" s="16" t="s">
        <v>48</v>
      </c>
      <c r="D99" s="16" t="n">
        <v>48.079</v>
      </c>
      <c r="E99" s="16" t="n">
        <v>7.358</v>
      </c>
      <c r="F99" s="17" t="n">
        <v>31</v>
      </c>
      <c r="G99" s="17" t="n">
        <v>0.299</v>
      </c>
      <c r="H99" s="17" t="n">
        <v>0.052</v>
      </c>
      <c r="I99" s="17" t="n">
        <v>0.307</v>
      </c>
      <c r="J99" s="17" t="n">
        <v>0.85</v>
      </c>
      <c r="K99" s="16" t="s">
        <v>51</v>
      </c>
      <c r="L99" s="18" t="b">
        <f aca="false">FALSE()</f>
        <v>0</v>
      </c>
      <c r="M99" s="16"/>
      <c r="N99" s="16" t="n">
        <v>0</v>
      </c>
      <c r="O99" s="16"/>
    </row>
    <row r="100" customFormat="false" ht="15" hidden="false" customHeight="false" outlineLevel="0" collapsed="false">
      <c r="A100" s="12" t="s">
        <v>172</v>
      </c>
      <c r="B100" s="12" t="s">
        <v>216</v>
      </c>
      <c r="C100" s="12" t="s">
        <v>48</v>
      </c>
      <c r="D100" s="12" t="n">
        <v>48.444</v>
      </c>
      <c r="E100" s="12" t="n">
        <v>1.489</v>
      </c>
      <c r="F100" s="14" t="n">
        <v>29</v>
      </c>
      <c r="G100" s="14" t="n">
        <v>0.322</v>
      </c>
      <c r="H100" s="14" t="n">
        <v>0.05</v>
      </c>
      <c r="I100" s="14" t="n">
        <v>0.156</v>
      </c>
      <c r="J100" s="14" t="n">
        <v>1</v>
      </c>
      <c r="K100" s="12" t="s">
        <v>51</v>
      </c>
      <c r="L100" s="15" t="b">
        <f aca="false">FALSE()</f>
        <v>0</v>
      </c>
      <c r="M100" s="12"/>
      <c r="N100" s="12" t="n">
        <v>1</v>
      </c>
      <c r="O100" s="12"/>
    </row>
    <row r="101" customFormat="false" ht="15" hidden="false" customHeight="false" outlineLevel="0" collapsed="false">
      <c r="A101" s="16" t="s">
        <v>172</v>
      </c>
      <c r="B101" s="16" t="s">
        <v>217</v>
      </c>
      <c r="C101" s="16" t="s">
        <v>48</v>
      </c>
      <c r="D101" s="16" t="n">
        <v>43.928</v>
      </c>
      <c r="E101" s="16" t="n">
        <v>2.148</v>
      </c>
      <c r="F101" s="17" t="n">
        <v>28</v>
      </c>
      <c r="G101" s="17" t="n">
        <v>0.321</v>
      </c>
      <c r="H101" s="17" t="n">
        <v>0.055</v>
      </c>
      <c r="I101" s="17" t="n">
        <v>0.114</v>
      </c>
      <c r="J101" s="17" t="n">
        <v>1</v>
      </c>
      <c r="K101" s="16" t="s">
        <v>51</v>
      </c>
      <c r="L101" s="18" t="b">
        <f aca="false">FALSE()</f>
        <v>0</v>
      </c>
      <c r="M101" s="16"/>
      <c r="N101" s="16" t="n">
        <v>1</v>
      </c>
      <c r="O101" s="16"/>
    </row>
    <row r="102" customFormat="false" ht="15" hidden="false" customHeight="false" outlineLevel="0" collapsed="false">
      <c r="A102" s="12" t="s">
        <v>172</v>
      </c>
      <c r="B102" s="13" t="s">
        <v>218</v>
      </c>
      <c r="C102" s="12" t="s">
        <v>48</v>
      </c>
      <c r="D102" s="12" t="n">
        <v>44.799</v>
      </c>
      <c r="E102" s="12" t="n">
        <v>1.618</v>
      </c>
      <c r="F102" s="14" t="n">
        <v>27</v>
      </c>
      <c r="G102" s="14" t="n">
        <v>0.156</v>
      </c>
      <c r="H102" s="14" t="n">
        <v>0.3</v>
      </c>
      <c r="I102" s="14" t="n">
        <v>0.246</v>
      </c>
      <c r="J102" s="14" t="n">
        <v>0.77</v>
      </c>
      <c r="K102" s="12" t="s">
        <v>219</v>
      </c>
      <c r="L102" s="15" t="b">
        <f aca="false">TRUE()</f>
        <v>1</v>
      </c>
      <c r="M102" s="12" t="n">
        <v>16</v>
      </c>
      <c r="N102" s="12" t="n">
        <v>0</v>
      </c>
      <c r="O102" s="12"/>
    </row>
    <row r="103" customFormat="false" ht="15" hidden="false" customHeight="false" outlineLevel="0" collapsed="false">
      <c r="A103" s="16" t="s">
        <v>172</v>
      </c>
      <c r="B103" s="16" t="s">
        <v>220</v>
      </c>
      <c r="C103" s="16" t="s">
        <v>48</v>
      </c>
      <c r="D103" s="16" t="n">
        <v>47.585</v>
      </c>
      <c r="E103" s="16" t="n">
        <v>-3.079</v>
      </c>
      <c r="F103" s="17" t="n">
        <v>27</v>
      </c>
      <c r="G103" s="17" t="n">
        <v>0.194</v>
      </c>
      <c r="H103" s="17" t="n">
        <v>0.224</v>
      </c>
      <c r="I103" s="17" t="n">
        <v>0.114</v>
      </c>
      <c r="J103" s="17" t="n">
        <v>1</v>
      </c>
      <c r="K103" s="16" t="s">
        <v>196</v>
      </c>
      <c r="L103" s="18" t="b">
        <f aca="false">FALSE()</f>
        <v>0</v>
      </c>
      <c r="M103" s="16"/>
      <c r="N103" s="16" t="n">
        <v>1</v>
      </c>
      <c r="O103" s="16"/>
    </row>
    <row r="104" customFormat="false" ht="15" hidden="false" customHeight="false" outlineLevel="0" collapsed="false">
      <c r="A104" s="12" t="s">
        <v>172</v>
      </c>
      <c r="B104" s="12" t="s">
        <v>221</v>
      </c>
      <c r="C104" s="12" t="s">
        <v>48</v>
      </c>
      <c r="D104" s="12" t="n">
        <v>43.213</v>
      </c>
      <c r="E104" s="12" t="n">
        <v>2.351</v>
      </c>
      <c r="F104" s="14" t="n">
        <v>25</v>
      </c>
      <c r="G104" s="14" t="n">
        <v>0.328</v>
      </c>
      <c r="H104" s="14" t="n">
        <v>0.058</v>
      </c>
      <c r="I104" s="14" t="n">
        <v>0.156</v>
      </c>
      <c r="J104" s="14" t="n">
        <v>0.85</v>
      </c>
      <c r="K104" s="12" t="s">
        <v>51</v>
      </c>
      <c r="L104" s="15" t="b">
        <f aca="false">FALSE()</f>
        <v>0</v>
      </c>
      <c r="M104" s="12"/>
      <c r="N104" s="12" t="n">
        <v>1</v>
      </c>
      <c r="O104" s="12"/>
    </row>
    <row r="105" customFormat="false" ht="15" hidden="false" customHeight="false" outlineLevel="0" collapsed="false">
      <c r="A105" s="16" t="s">
        <v>172</v>
      </c>
      <c r="B105" s="16" t="s">
        <v>222</v>
      </c>
      <c r="C105" s="16" t="s">
        <v>48</v>
      </c>
      <c r="D105" s="16" t="n">
        <v>49.494</v>
      </c>
      <c r="E105" s="16" t="n">
        <v>0.108</v>
      </c>
      <c r="F105" s="17" t="n">
        <v>25</v>
      </c>
      <c r="G105" s="17" t="n">
        <v>0.261</v>
      </c>
      <c r="H105" s="17" t="n">
        <v>0.093</v>
      </c>
      <c r="I105" s="17" t="n">
        <v>0.128</v>
      </c>
      <c r="J105" s="17" t="n">
        <v>1</v>
      </c>
      <c r="K105" s="16" t="s">
        <v>62</v>
      </c>
      <c r="L105" s="18" t="b">
        <f aca="false">FALSE()</f>
        <v>0</v>
      </c>
      <c r="M105" s="16"/>
      <c r="N105" s="16" t="n">
        <v>1</v>
      </c>
      <c r="O105" s="16"/>
    </row>
    <row r="106" customFormat="false" ht="15" hidden="false" customHeight="false" outlineLevel="0" collapsed="false">
      <c r="A106" s="12" t="s">
        <v>172</v>
      </c>
      <c r="B106" s="12" t="s">
        <v>223</v>
      </c>
      <c r="C106" s="12" t="s">
        <v>48</v>
      </c>
      <c r="D106" s="12" t="n">
        <v>44.894</v>
      </c>
      <c r="E106" s="12" t="n">
        <v>-0.156</v>
      </c>
      <c r="F106" s="14" t="n">
        <v>24</v>
      </c>
      <c r="G106" s="14" t="n">
        <v>0.244</v>
      </c>
      <c r="H106" s="14" t="n">
        <v>0.05</v>
      </c>
      <c r="I106" s="14" t="n">
        <v>0.159</v>
      </c>
      <c r="J106" s="14" t="n">
        <v>1</v>
      </c>
      <c r="K106" s="12" t="s">
        <v>51</v>
      </c>
      <c r="L106" s="15" t="b">
        <f aca="false">FALSE()</f>
        <v>0</v>
      </c>
      <c r="M106" s="12"/>
      <c r="N106" s="12" t="n">
        <v>1</v>
      </c>
      <c r="O106" s="12"/>
    </row>
    <row r="107" customFormat="false" ht="15" hidden="false" customHeight="false" outlineLevel="0" collapsed="false">
      <c r="A107" s="16" t="s">
        <v>172</v>
      </c>
      <c r="B107" s="16" t="s">
        <v>224</v>
      </c>
      <c r="C107" s="16" t="s">
        <v>48</v>
      </c>
      <c r="D107" s="16" t="n">
        <v>43.483</v>
      </c>
      <c r="E107" s="16" t="n">
        <v>-1.559</v>
      </c>
      <c r="F107" s="17" t="n">
        <v>24</v>
      </c>
      <c r="G107" s="17" t="n">
        <v>0.157</v>
      </c>
      <c r="H107" s="17" t="n">
        <v>0.048</v>
      </c>
      <c r="I107" s="17" t="n">
        <v>0.228</v>
      </c>
      <c r="J107" s="17" t="n">
        <v>1</v>
      </c>
      <c r="K107" s="16" t="s">
        <v>66</v>
      </c>
      <c r="L107" s="18" t="b">
        <f aca="false">FALSE()</f>
        <v>0</v>
      </c>
      <c r="M107" s="16"/>
      <c r="N107" s="16" t="n">
        <v>0</v>
      </c>
      <c r="O107" s="16"/>
    </row>
    <row r="108" customFormat="false" ht="15" hidden="false" customHeight="false" outlineLevel="0" collapsed="false">
      <c r="A108" s="12" t="s">
        <v>172</v>
      </c>
      <c r="B108" s="12" t="s">
        <v>225</v>
      </c>
      <c r="C108" s="12" t="s">
        <v>48</v>
      </c>
      <c r="D108" s="12" t="n">
        <v>48.166</v>
      </c>
      <c r="E108" s="12" t="n">
        <v>7.298</v>
      </c>
      <c r="F108" s="14" t="n">
        <v>21</v>
      </c>
      <c r="G108" s="14" t="n">
        <v>0.156</v>
      </c>
      <c r="H108" s="14" t="n">
        <v>0.151</v>
      </c>
      <c r="I108" s="14" t="n">
        <v>0.201</v>
      </c>
      <c r="J108" s="14" t="n">
        <v>0.85</v>
      </c>
      <c r="K108" s="12" t="s">
        <v>89</v>
      </c>
      <c r="L108" s="15" t="b">
        <f aca="false">FALSE()</f>
        <v>0</v>
      </c>
      <c r="M108" s="12"/>
      <c r="N108" s="12" t="n">
        <v>0</v>
      </c>
      <c r="O108" s="12"/>
    </row>
    <row r="109" customFormat="false" ht="15" hidden="false" customHeight="false" outlineLevel="0" collapsed="false">
      <c r="A109" s="16" t="s">
        <v>172</v>
      </c>
      <c r="B109" s="16" t="s">
        <v>226</v>
      </c>
      <c r="C109" s="16" t="s">
        <v>48</v>
      </c>
      <c r="D109" s="16" t="n">
        <v>49.707</v>
      </c>
      <c r="E109" s="16" t="n">
        <v>0.204</v>
      </c>
      <c r="F109" s="17" t="n">
        <v>14</v>
      </c>
      <c r="G109" s="17" t="n">
        <v>0.03</v>
      </c>
      <c r="H109" s="17" t="n">
        <v>0.164</v>
      </c>
      <c r="I109" s="17" t="n">
        <v>0.087</v>
      </c>
      <c r="J109" s="17" t="n">
        <v>0.85</v>
      </c>
      <c r="K109" s="16" t="s">
        <v>66</v>
      </c>
      <c r="L109" s="18" t="b">
        <f aca="false">FALSE()</f>
        <v>0</v>
      </c>
      <c r="M109" s="16"/>
      <c r="N109" s="16" t="n">
        <v>0</v>
      </c>
      <c r="O109" s="16"/>
    </row>
    <row r="110" customFormat="false" ht="15" hidden="false" customHeight="false" outlineLevel="0" collapsed="false">
      <c r="A110" s="12" t="s">
        <v>227</v>
      </c>
      <c r="B110" s="13" t="s">
        <v>228</v>
      </c>
      <c r="C110" s="12" t="s">
        <v>48</v>
      </c>
      <c r="D110" s="12" t="n">
        <v>40.713</v>
      </c>
      <c r="E110" s="12" t="n">
        <v>-74.006</v>
      </c>
      <c r="F110" s="14" t="n">
        <v>100</v>
      </c>
      <c r="G110" s="14" t="n">
        <v>1</v>
      </c>
      <c r="H110" s="14" t="n">
        <v>0.158</v>
      </c>
      <c r="I110" s="14" t="n">
        <v>1</v>
      </c>
      <c r="J110" s="14" t="n">
        <v>0.85</v>
      </c>
      <c r="K110" s="12" t="s">
        <v>229</v>
      </c>
      <c r="L110" s="15" t="b">
        <f aca="false">TRUE()</f>
        <v>1</v>
      </c>
      <c r="M110" s="12" t="n">
        <v>1</v>
      </c>
      <c r="N110" s="12" t="n">
        <v>1</v>
      </c>
      <c r="O110" s="12"/>
    </row>
    <row r="111" customFormat="false" ht="15" hidden="false" customHeight="false" outlineLevel="0" collapsed="false">
      <c r="A111" s="16" t="s">
        <v>227</v>
      </c>
      <c r="B111" s="19" t="s">
        <v>230</v>
      </c>
      <c r="C111" s="16" t="s">
        <v>48</v>
      </c>
      <c r="D111" s="16" t="n">
        <v>38.899</v>
      </c>
      <c r="E111" s="16" t="n">
        <v>-77.037</v>
      </c>
      <c r="F111" s="17" t="n">
        <v>90</v>
      </c>
      <c r="G111" s="17" t="n">
        <v>0.834</v>
      </c>
      <c r="H111" s="17" t="n">
        <v>0.034</v>
      </c>
      <c r="I111" s="17" t="n">
        <v>0.705</v>
      </c>
      <c r="J111" s="17" t="n">
        <v>1</v>
      </c>
      <c r="K111" s="16" t="s">
        <v>231</v>
      </c>
      <c r="L111" s="18" t="b">
        <f aca="false">TRUE()</f>
        <v>1</v>
      </c>
      <c r="M111" s="16" t="n">
        <v>13</v>
      </c>
      <c r="N111" s="16" t="n">
        <v>0</v>
      </c>
      <c r="O111" s="16"/>
    </row>
    <row r="112" customFormat="false" ht="15" hidden="false" customHeight="false" outlineLevel="0" collapsed="false">
      <c r="A112" s="12" t="s">
        <v>227</v>
      </c>
      <c r="B112" s="13" t="s">
        <v>232</v>
      </c>
      <c r="C112" s="12" t="s">
        <v>48</v>
      </c>
      <c r="D112" s="12" t="n">
        <v>41.878</v>
      </c>
      <c r="E112" s="12" t="n">
        <v>-87.63</v>
      </c>
      <c r="F112" s="14" t="n">
        <v>89</v>
      </c>
      <c r="G112" s="14" t="n">
        <v>0.733</v>
      </c>
      <c r="H112" s="14" t="n">
        <v>0.078</v>
      </c>
      <c r="I112" s="14" t="n">
        <v>0.778</v>
      </c>
      <c r="J112" s="14" t="n">
        <v>1</v>
      </c>
      <c r="K112" s="12" t="s">
        <v>233</v>
      </c>
      <c r="L112" s="15" t="b">
        <f aca="false">TRUE()</f>
        <v>1</v>
      </c>
      <c r="M112" s="12" t="n">
        <v>2</v>
      </c>
      <c r="N112" s="12" t="n">
        <v>0</v>
      </c>
      <c r="O112" s="12"/>
    </row>
    <row r="113" customFormat="false" ht="15" hidden="false" customHeight="false" outlineLevel="0" collapsed="false">
      <c r="A113" s="16" t="s">
        <v>227</v>
      </c>
      <c r="B113" s="19" t="s">
        <v>234</v>
      </c>
      <c r="C113" s="16" t="s">
        <v>48</v>
      </c>
      <c r="D113" s="16" t="n">
        <v>42.361</v>
      </c>
      <c r="E113" s="16" t="n">
        <v>-71.058</v>
      </c>
      <c r="F113" s="17" t="n">
        <v>84</v>
      </c>
      <c r="G113" s="17" t="n">
        <v>0.708</v>
      </c>
      <c r="H113" s="17" t="n">
        <v>0.062</v>
      </c>
      <c r="I113" s="17" t="n">
        <v>0.727</v>
      </c>
      <c r="J113" s="17" t="n">
        <v>1</v>
      </c>
      <c r="K113" s="16" t="s">
        <v>235</v>
      </c>
      <c r="L113" s="18" t="b">
        <f aca="false">TRUE()</f>
        <v>1</v>
      </c>
      <c r="M113" s="16" t="n">
        <v>18</v>
      </c>
      <c r="N113" s="16" t="n">
        <v>0</v>
      </c>
      <c r="O113" s="16"/>
    </row>
    <row r="114" customFormat="false" ht="15" hidden="false" customHeight="false" outlineLevel="0" collapsed="false">
      <c r="A114" s="12" t="s">
        <v>227</v>
      </c>
      <c r="B114" s="12" t="s">
        <v>236</v>
      </c>
      <c r="C114" s="12" t="s">
        <v>48</v>
      </c>
      <c r="D114" s="12" t="n">
        <v>39.953</v>
      </c>
      <c r="E114" s="12" t="n">
        <v>-75.165</v>
      </c>
      <c r="F114" s="14" t="n">
        <v>79</v>
      </c>
      <c r="G114" s="14" t="n">
        <v>0.741</v>
      </c>
      <c r="H114" s="14" t="n">
        <v>0.033</v>
      </c>
      <c r="I114" s="14" t="n">
        <v>0.616</v>
      </c>
      <c r="J114" s="14" t="n">
        <v>1</v>
      </c>
      <c r="K114" s="12" t="s">
        <v>174</v>
      </c>
      <c r="L114" s="15" t="b">
        <f aca="false">FALSE()</f>
        <v>0</v>
      </c>
      <c r="M114" s="12"/>
      <c r="N114" s="12" t="n">
        <v>1</v>
      </c>
      <c r="O114" s="12"/>
    </row>
    <row r="115" customFormat="false" ht="15" hidden="false" customHeight="false" outlineLevel="0" collapsed="false">
      <c r="A115" s="16" t="s">
        <v>227</v>
      </c>
      <c r="B115" s="19" t="s">
        <v>237</v>
      </c>
      <c r="C115" s="16" t="s">
        <v>48</v>
      </c>
      <c r="D115" s="16" t="n">
        <v>34.052</v>
      </c>
      <c r="E115" s="16" t="n">
        <v>-118.244</v>
      </c>
      <c r="F115" s="17" t="n">
        <v>78</v>
      </c>
      <c r="G115" s="17" t="n">
        <v>0.546</v>
      </c>
      <c r="H115" s="17" t="n">
        <v>0.152</v>
      </c>
      <c r="I115" s="17" t="n">
        <v>0.745</v>
      </c>
      <c r="J115" s="17" t="n">
        <v>1</v>
      </c>
      <c r="K115" s="16" t="s">
        <v>238</v>
      </c>
      <c r="L115" s="18" t="b">
        <f aca="false">TRUE()</f>
        <v>1</v>
      </c>
      <c r="M115" s="16" t="n">
        <v>6</v>
      </c>
      <c r="N115" s="16" t="n">
        <v>0</v>
      </c>
      <c r="O115" s="16"/>
    </row>
    <row r="116" customFormat="false" ht="15" hidden="false" customHeight="false" outlineLevel="0" collapsed="false">
      <c r="A116" s="12" t="s">
        <v>227</v>
      </c>
      <c r="B116" s="13" t="s">
        <v>239</v>
      </c>
      <c r="C116" s="12" t="s">
        <v>59</v>
      </c>
      <c r="D116" s="12" t="n">
        <v>25.286</v>
      </c>
      <c r="E116" s="12" t="n">
        <v>-80.899</v>
      </c>
      <c r="F116" s="14" t="n">
        <v>76</v>
      </c>
      <c r="G116" s="14" t="n">
        <v>0.006</v>
      </c>
      <c r="H116" s="14" t="n">
        <v>0.989</v>
      </c>
      <c r="I116" s="14" t="n">
        <v>0.038</v>
      </c>
      <c r="J116" s="14" t="n">
        <v>0.9</v>
      </c>
      <c r="K116" s="12" t="s">
        <v>148</v>
      </c>
      <c r="L116" s="15" t="b">
        <f aca="false">TRUE()</f>
        <v>1</v>
      </c>
      <c r="M116" s="12" t="n">
        <v>3</v>
      </c>
      <c r="N116" s="12" t="n">
        <v>1</v>
      </c>
      <c r="O116" s="12"/>
    </row>
    <row r="117" customFormat="false" ht="15" hidden="false" customHeight="false" outlineLevel="0" collapsed="false">
      <c r="A117" s="16" t="s">
        <v>227</v>
      </c>
      <c r="B117" s="19" t="s">
        <v>240</v>
      </c>
      <c r="C117" s="16" t="s">
        <v>59</v>
      </c>
      <c r="D117" s="16" t="n">
        <v>47.802</v>
      </c>
      <c r="E117" s="16" t="n">
        <v>-123.604</v>
      </c>
      <c r="F117" s="17" t="n">
        <v>75</v>
      </c>
      <c r="G117" s="17" t="n">
        <v>0.006</v>
      </c>
      <c r="H117" s="17" t="n">
        <v>0.971</v>
      </c>
      <c r="I117" s="17" t="n">
        <v>0.038</v>
      </c>
      <c r="J117" s="17" t="n">
        <v>0.9</v>
      </c>
      <c r="K117" s="16" t="s">
        <v>241</v>
      </c>
      <c r="L117" s="18" t="b">
        <f aca="false">TRUE()</f>
        <v>1</v>
      </c>
      <c r="M117" s="16" t="n">
        <v>4</v>
      </c>
      <c r="N117" s="16" t="n">
        <v>1</v>
      </c>
      <c r="O117" s="16"/>
    </row>
    <row r="118" customFormat="false" ht="15" hidden="false" customHeight="false" outlineLevel="0" collapsed="false">
      <c r="A118" s="12" t="s">
        <v>227</v>
      </c>
      <c r="B118" s="13" t="s">
        <v>242</v>
      </c>
      <c r="C118" s="12" t="s">
        <v>48</v>
      </c>
      <c r="D118" s="12" t="n">
        <v>29.951</v>
      </c>
      <c r="E118" s="12" t="n">
        <v>-90.072</v>
      </c>
      <c r="F118" s="14" t="n">
        <v>72</v>
      </c>
      <c r="G118" s="14" t="n">
        <v>0.635</v>
      </c>
      <c r="H118" s="14" t="n">
        <v>0.15</v>
      </c>
      <c r="I118" s="14" t="n">
        <v>0.785</v>
      </c>
      <c r="J118" s="14" t="n">
        <v>0.85</v>
      </c>
      <c r="K118" s="12" t="s">
        <v>192</v>
      </c>
      <c r="L118" s="15" t="b">
        <f aca="false">TRUE()</f>
        <v>1</v>
      </c>
      <c r="M118" s="12" t="n">
        <v>5</v>
      </c>
      <c r="N118" s="12" t="n">
        <v>0</v>
      </c>
      <c r="O118" s="12"/>
    </row>
    <row r="119" customFormat="false" ht="15" hidden="false" customHeight="false" outlineLevel="0" collapsed="false">
      <c r="A119" s="16" t="s">
        <v>227</v>
      </c>
      <c r="B119" s="19" t="s">
        <v>243</v>
      </c>
      <c r="C119" s="16" t="s">
        <v>48</v>
      </c>
      <c r="D119" s="16" t="n">
        <v>37.775</v>
      </c>
      <c r="E119" s="16" t="n">
        <v>-122.419</v>
      </c>
      <c r="F119" s="17" t="n">
        <v>67</v>
      </c>
      <c r="G119" s="17" t="n">
        <v>0.628</v>
      </c>
      <c r="H119" s="17" t="n">
        <v>0.214</v>
      </c>
      <c r="I119" s="17" t="n">
        <v>0.685</v>
      </c>
      <c r="J119" s="17" t="n">
        <v>0.85</v>
      </c>
      <c r="K119" s="16" t="s">
        <v>235</v>
      </c>
      <c r="L119" s="18" t="b">
        <f aca="false">TRUE()</f>
        <v>1</v>
      </c>
      <c r="M119" s="16" t="n">
        <v>9</v>
      </c>
      <c r="N119" s="16" t="n">
        <v>0</v>
      </c>
      <c r="O119" s="16"/>
    </row>
    <row r="120" customFormat="false" ht="15" hidden="false" customHeight="false" outlineLevel="0" collapsed="false">
      <c r="A120" s="12" t="s">
        <v>227</v>
      </c>
      <c r="B120" s="12" t="s">
        <v>244</v>
      </c>
      <c r="C120" s="12" t="s">
        <v>59</v>
      </c>
      <c r="D120" s="12" t="n">
        <v>37.865</v>
      </c>
      <c r="E120" s="12" t="n">
        <v>-119.538</v>
      </c>
      <c r="F120" s="14" t="n">
        <v>66</v>
      </c>
      <c r="G120" s="14" t="n">
        <v>0.03</v>
      </c>
      <c r="H120" s="14" t="n">
        <v>1</v>
      </c>
      <c r="I120" s="14" t="n">
        <v>0.152</v>
      </c>
      <c r="J120" s="14" t="n">
        <v>0.77</v>
      </c>
      <c r="K120" s="12" t="s">
        <v>245</v>
      </c>
      <c r="L120" s="15" t="b">
        <f aca="false">FALSE()</f>
        <v>0</v>
      </c>
      <c r="M120" s="12"/>
      <c r="N120" s="12" t="n">
        <v>1</v>
      </c>
      <c r="O120" s="12"/>
    </row>
    <row r="121" customFormat="false" ht="15" hidden="false" customHeight="false" outlineLevel="0" collapsed="false">
      <c r="A121" s="16" t="s">
        <v>227</v>
      </c>
      <c r="B121" s="16" t="s">
        <v>246</v>
      </c>
      <c r="C121" s="16" t="s">
        <v>48</v>
      </c>
      <c r="D121" s="16" t="n">
        <v>25.762</v>
      </c>
      <c r="E121" s="16" t="n">
        <v>-80.192</v>
      </c>
      <c r="F121" s="17" t="n">
        <v>65</v>
      </c>
      <c r="G121" s="17" t="n">
        <v>0.469</v>
      </c>
      <c r="H121" s="17" t="n">
        <v>0.332</v>
      </c>
      <c r="I121" s="17" t="n">
        <v>0.519</v>
      </c>
      <c r="J121" s="17" t="n">
        <v>1</v>
      </c>
      <c r="K121" s="16" t="s">
        <v>247</v>
      </c>
      <c r="L121" s="18" t="b">
        <f aca="false">FALSE()</f>
        <v>0</v>
      </c>
      <c r="M121" s="16"/>
      <c r="N121" s="16" t="n">
        <v>0</v>
      </c>
      <c r="O121" s="16"/>
    </row>
    <row r="122" customFormat="false" ht="15" hidden="false" customHeight="false" outlineLevel="0" collapsed="false">
      <c r="A122" s="12" t="s">
        <v>227</v>
      </c>
      <c r="B122" s="12" t="s">
        <v>248</v>
      </c>
      <c r="C122" s="12" t="s">
        <v>48</v>
      </c>
      <c r="D122" s="12" t="n">
        <v>47.606</v>
      </c>
      <c r="E122" s="12" t="n">
        <v>-122.333</v>
      </c>
      <c r="F122" s="14" t="n">
        <v>61</v>
      </c>
      <c r="G122" s="14" t="n">
        <v>0.453</v>
      </c>
      <c r="H122" s="14" t="n">
        <v>0.176</v>
      </c>
      <c r="I122" s="14" t="n">
        <v>0.547</v>
      </c>
      <c r="J122" s="14" t="n">
        <v>1</v>
      </c>
      <c r="K122" s="12" t="s">
        <v>249</v>
      </c>
      <c r="L122" s="15" t="b">
        <f aca="false">FALSE()</f>
        <v>0</v>
      </c>
      <c r="M122" s="12"/>
      <c r="N122" s="12" t="n">
        <v>0</v>
      </c>
      <c r="O122" s="12"/>
    </row>
    <row r="123" customFormat="false" ht="15" hidden="false" customHeight="false" outlineLevel="0" collapsed="false">
      <c r="A123" s="16" t="s">
        <v>227</v>
      </c>
      <c r="B123" s="19" t="s">
        <v>250</v>
      </c>
      <c r="C123" s="16" t="s">
        <v>48</v>
      </c>
      <c r="D123" s="16" t="n">
        <v>29.424</v>
      </c>
      <c r="E123" s="16" t="n">
        <v>-98.494</v>
      </c>
      <c r="F123" s="17" t="n">
        <v>59</v>
      </c>
      <c r="G123" s="17" t="n">
        <v>0.546</v>
      </c>
      <c r="H123" s="17" t="n">
        <v>0.037</v>
      </c>
      <c r="I123" s="17" t="n">
        <v>0.458</v>
      </c>
      <c r="J123" s="17" t="n">
        <v>1</v>
      </c>
      <c r="K123" s="16" t="s">
        <v>174</v>
      </c>
      <c r="L123" s="18" t="b">
        <f aca="false">TRUE()</f>
        <v>1</v>
      </c>
      <c r="M123" s="16" t="n">
        <v>12</v>
      </c>
      <c r="N123" s="16" t="n">
        <v>1</v>
      </c>
      <c r="O123" s="16"/>
    </row>
    <row r="124" customFormat="false" ht="15" hidden="false" customHeight="false" outlineLevel="0" collapsed="false">
      <c r="A124" s="12" t="s">
        <v>227</v>
      </c>
      <c r="B124" s="13" t="s">
        <v>251</v>
      </c>
      <c r="C124" s="12" t="s">
        <v>59</v>
      </c>
      <c r="D124" s="12" t="n">
        <v>36.056</v>
      </c>
      <c r="E124" s="12" t="n">
        <v>-112.139</v>
      </c>
      <c r="F124" s="14" t="n">
        <v>56</v>
      </c>
      <c r="G124" s="14" t="n">
        <v>0.033</v>
      </c>
      <c r="H124" s="14" t="n">
        <v>0.839</v>
      </c>
      <c r="I124" s="14" t="n">
        <v>0.152</v>
      </c>
      <c r="J124" s="14" t="n">
        <v>0.77</v>
      </c>
      <c r="K124" s="12" t="s">
        <v>252</v>
      </c>
      <c r="L124" s="15" t="b">
        <f aca="false">TRUE()</f>
        <v>1</v>
      </c>
      <c r="M124" s="12" t="n">
        <v>7</v>
      </c>
      <c r="N124" s="12" t="n">
        <v>1</v>
      </c>
      <c r="O124" s="12"/>
    </row>
    <row r="125" customFormat="false" ht="15" hidden="false" customHeight="false" outlineLevel="0" collapsed="false">
      <c r="A125" s="16" t="s">
        <v>227</v>
      </c>
      <c r="B125" s="19" t="s">
        <v>253</v>
      </c>
      <c r="C125" s="16" t="s">
        <v>59</v>
      </c>
      <c r="D125" s="16" t="n">
        <v>19.421</v>
      </c>
      <c r="E125" s="16" t="n">
        <v>-155.287</v>
      </c>
      <c r="F125" s="17" t="n">
        <v>56</v>
      </c>
      <c r="G125" s="17" t="n">
        <v>0.031</v>
      </c>
      <c r="H125" s="17" t="n">
        <v>0.86</v>
      </c>
      <c r="I125" s="17" t="n">
        <v>0.354</v>
      </c>
      <c r="J125" s="17" t="n">
        <v>0.7</v>
      </c>
      <c r="K125" s="16" t="s">
        <v>254</v>
      </c>
      <c r="L125" s="18" t="b">
        <f aca="false">TRUE()</f>
        <v>1</v>
      </c>
      <c r="M125" s="16" t="n">
        <v>8</v>
      </c>
      <c r="N125" s="16" t="n">
        <v>1</v>
      </c>
      <c r="O125" s="16"/>
    </row>
    <row r="126" customFormat="false" ht="15" hidden="false" customHeight="false" outlineLevel="0" collapsed="false">
      <c r="A126" s="12" t="s">
        <v>227</v>
      </c>
      <c r="B126" s="13" t="s">
        <v>255</v>
      </c>
      <c r="C126" s="12" t="s">
        <v>48</v>
      </c>
      <c r="D126" s="12" t="n">
        <v>36.163</v>
      </c>
      <c r="E126" s="12" t="n">
        <v>-86.781</v>
      </c>
      <c r="F126" s="14" t="n">
        <v>55</v>
      </c>
      <c r="G126" s="14" t="n">
        <v>0.357</v>
      </c>
      <c r="H126" s="14" t="n">
        <v>0.037</v>
      </c>
      <c r="I126" s="14" t="n">
        <v>0.551</v>
      </c>
      <c r="J126" s="14" t="n">
        <v>1</v>
      </c>
      <c r="K126" s="12" t="s">
        <v>185</v>
      </c>
      <c r="L126" s="15" t="b">
        <f aca="false">TRUE()</f>
        <v>1</v>
      </c>
      <c r="M126" s="12" t="n">
        <v>15</v>
      </c>
      <c r="N126" s="12" t="n">
        <v>0</v>
      </c>
      <c r="O126" s="12"/>
    </row>
    <row r="127" customFormat="false" ht="15" hidden="false" customHeight="false" outlineLevel="0" collapsed="false">
      <c r="A127" s="16" t="s">
        <v>227</v>
      </c>
      <c r="B127" s="19" t="s">
        <v>256</v>
      </c>
      <c r="C127" s="16" t="s">
        <v>59</v>
      </c>
      <c r="D127" s="16" t="n">
        <v>41.213</v>
      </c>
      <c r="E127" s="16" t="n">
        <v>-124.004</v>
      </c>
      <c r="F127" s="17" t="n">
        <v>54</v>
      </c>
      <c r="G127" s="17" t="n">
        <v>0.003</v>
      </c>
      <c r="H127" s="17" t="n">
        <v>0.697</v>
      </c>
      <c r="I127" s="17" t="n">
        <v>0.038</v>
      </c>
      <c r="J127" s="17" t="n">
        <v>0.9</v>
      </c>
      <c r="K127" s="16" t="s">
        <v>257</v>
      </c>
      <c r="L127" s="18" t="b">
        <f aca="false">TRUE()</f>
        <v>1</v>
      </c>
      <c r="M127" s="16" t="n">
        <v>17</v>
      </c>
      <c r="N127" s="16" t="n">
        <v>1</v>
      </c>
      <c r="O127" s="16"/>
    </row>
    <row r="128" customFormat="false" ht="15" hidden="false" customHeight="false" outlineLevel="0" collapsed="false">
      <c r="A128" s="12" t="s">
        <v>227</v>
      </c>
      <c r="B128" s="12" t="s">
        <v>258</v>
      </c>
      <c r="C128" s="12" t="s">
        <v>48</v>
      </c>
      <c r="D128" s="12" t="n">
        <v>30.267</v>
      </c>
      <c r="E128" s="12" t="n">
        <v>-97.743</v>
      </c>
      <c r="F128" s="14" t="n">
        <v>53</v>
      </c>
      <c r="G128" s="14" t="n">
        <v>0.347</v>
      </c>
      <c r="H128" s="14" t="n">
        <v>0.039</v>
      </c>
      <c r="I128" s="14" t="n">
        <v>0.521</v>
      </c>
      <c r="J128" s="14" t="n">
        <v>1</v>
      </c>
      <c r="K128" s="12" t="s">
        <v>185</v>
      </c>
      <c r="L128" s="15" t="b">
        <f aca="false">FALSE()</f>
        <v>0</v>
      </c>
      <c r="M128" s="12"/>
      <c r="N128" s="12" t="n">
        <v>0</v>
      </c>
      <c r="O128" s="12"/>
    </row>
    <row r="129" customFormat="false" ht="15" hidden="false" customHeight="false" outlineLevel="0" collapsed="false">
      <c r="A129" s="16" t="s">
        <v>227</v>
      </c>
      <c r="B129" s="19" t="s">
        <v>259</v>
      </c>
      <c r="C129" s="16" t="s">
        <v>59</v>
      </c>
      <c r="D129" s="16" t="n">
        <v>44.428</v>
      </c>
      <c r="E129" s="16" t="n">
        <v>-110.588</v>
      </c>
      <c r="F129" s="17" t="n">
        <v>51</v>
      </c>
      <c r="G129" s="17" t="n">
        <v>0.03</v>
      </c>
      <c r="H129" s="17" t="n">
        <v>0.98</v>
      </c>
      <c r="I129" s="17" t="n">
        <v>0.152</v>
      </c>
      <c r="J129" s="17" t="n">
        <v>0.59</v>
      </c>
      <c r="K129" s="16" t="s">
        <v>260</v>
      </c>
      <c r="L129" s="18" t="b">
        <f aca="false">TRUE()</f>
        <v>1</v>
      </c>
      <c r="M129" s="16" t="n">
        <v>10</v>
      </c>
      <c r="N129" s="16" t="n">
        <v>1</v>
      </c>
      <c r="O129" s="16"/>
    </row>
    <row r="130" customFormat="false" ht="15" hidden="false" customHeight="false" outlineLevel="0" collapsed="false">
      <c r="A130" s="12" t="s">
        <v>227</v>
      </c>
      <c r="B130" s="13" t="s">
        <v>261</v>
      </c>
      <c r="C130" s="12" t="s">
        <v>48</v>
      </c>
      <c r="D130" s="12" t="n">
        <v>32.777</v>
      </c>
      <c r="E130" s="12" t="n">
        <v>-79.931</v>
      </c>
      <c r="F130" s="14" t="n">
        <v>50</v>
      </c>
      <c r="G130" s="14" t="n">
        <v>0.54</v>
      </c>
      <c r="H130" s="14" t="n">
        <v>0.15</v>
      </c>
      <c r="I130" s="14" t="n">
        <v>0.44</v>
      </c>
      <c r="J130" s="14" t="n">
        <v>0.85</v>
      </c>
      <c r="K130" s="12" t="s">
        <v>262</v>
      </c>
      <c r="L130" s="15" t="b">
        <f aca="false">TRUE()</f>
        <v>1</v>
      </c>
      <c r="M130" s="12" t="n">
        <v>16</v>
      </c>
      <c r="N130" s="12" t="n">
        <v>0</v>
      </c>
      <c r="O130" s="12"/>
    </row>
    <row r="131" customFormat="false" ht="15" hidden="false" customHeight="false" outlineLevel="0" collapsed="false">
      <c r="A131" s="16" t="s">
        <v>227</v>
      </c>
      <c r="B131" s="19" t="s">
        <v>263</v>
      </c>
      <c r="C131" s="16" t="s">
        <v>48</v>
      </c>
      <c r="D131" s="16" t="n">
        <v>35.687</v>
      </c>
      <c r="E131" s="16" t="n">
        <v>-105.938</v>
      </c>
      <c r="F131" s="17" t="n">
        <v>49</v>
      </c>
      <c r="G131" s="17" t="n">
        <v>0.467</v>
      </c>
      <c r="H131" s="17" t="n">
        <v>0.274</v>
      </c>
      <c r="I131" s="17" t="n">
        <v>0.538</v>
      </c>
      <c r="J131" s="17" t="n">
        <v>0.77</v>
      </c>
      <c r="K131" s="16" t="s">
        <v>264</v>
      </c>
      <c r="L131" s="18" t="b">
        <f aca="false">TRUE()</f>
        <v>1</v>
      </c>
      <c r="M131" s="16" t="n">
        <v>14</v>
      </c>
      <c r="N131" s="16" t="n">
        <v>0</v>
      </c>
      <c r="O131" s="16"/>
    </row>
    <row r="132" customFormat="false" ht="15" hidden="false" customHeight="false" outlineLevel="0" collapsed="false">
      <c r="A132" s="12" t="s">
        <v>227</v>
      </c>
      <c r="B132" s="12" t="s">
        <v>265</v>
      </c>
      <c r="C132" s="12" t="s">
        <v>48</v>
      </c>
      <c r="D132" s="12" t="n">
        <v>32.081</v>
      </c>
      <c r="E132" s="12" t="n">
        <v>-81.091</v>
      </c>
      <c r="F132" s="14" t="n">
        <v>48</v>
      </c>
      <c r="G132" s="14" t="n">
        <v>0.429</v>
      </c>
      <c r="H132" s="14" t="n">
        <v>0.179</v>
      </c>
      <c r="I132" s="14" t="n">
        <v>0.355</v>
      </c>
      <c r="J132" s="14" t="n">
        <v>1</v>
      </c>
      <c r="K132" s="12" t="s">
        <v>262</v>
      </c>
      <c r="L132" s="15" t="b">
        <f aca="false">FALSE()</f>
        <v>0</v>
      </c>
      <c r="M132" s="12"/>
      <c r="N132" s="12" t="n">
        <v>0</v>
      </c>
      <c r="O132" s="12"/>
    </row>
    <row r="133" customFormat="false" ht="15" hidden="false" customHeight="false" outlineLevel="0" collapsed="false">
      <c r="A133" s="16" t="s">
        <v>227</v>
      </c>
      <c r="B133" s="16" t="s">
        <v>266</v>
      </c>
      <c r="C133" s="16" t="s">
        <v>48</v>
      </c>
      <c r="D133" s="16" t="n">
        <v>35.15</v>
      </c>
      <c r="E133" s="16" t="n">
        <v>-90.049</v>
      </c>
      <c r="F133" s="17" t="n">
        <v>48</v>
      </c>
      <c r="G133" s="17" t="n">
        <v>0.321</v>
      </c>
      <c r="H133" s="17" t="n">
        <v>0.034</v>
      </c>
      <c r="I133" s="17" t="n">
        <v>0.472</v>
      </c>
      <c r="J133" s="17" t="n">
        <v>1</v>
      </c>
      <c r="K133" s="16"/>
      <c r="L133" s="18" t="b">
        <f aca="false">FALSE()</f>
        <v>0</v>
      </c>
      <c r="M133" s="16"/>
      <c r="N133" s="16" t="n">
        <v>0</v>
      </c>
      <c r="O133" s="16"/>
    </row>
    <row r="134" customFormat="false" ht="15" hidden="false" customHeight="false" outlineLevel="0" collapsed="false">
      <c r="A134" s="12" t="s">
        <v>227</v>
      </c>
      <c r="B134" s="12" t="s">
        <v>267</v>
      </c>
      <c r="C134" s="12" t="s">
        <v>59</v>
      </c>
      <c r="D134" s="12" t="n">
        <v>37.187</v>
      </c>
      <c r="E134" s="12" t="n">
        <v>-86.1</v>
      </c>
      <c r="F134" s="14" t="n">
        <v>47</v>
      </c>
      <c r="G134" s="14" t="n">
        <v>0.006</v>
      </c>
      <c r="H134" s="14" t="n">
        <v>0.613</v>
      </c>
      <c r="I134" s="14" t="n">
        <v>0.038</v>
      </c>
      <c r="J134" s="14" t="n">
        <v>0.9</v>
      </c>
      <c r="K134" s="12" t="s">
        <v>268</v>
      </c>
      <c r="L134" s="15" t="b">
        <f aca="false">FALSE()</f>
        <v>0</v>
      </c>
      <c r="M134" s="12"/>
      <c r="N134" s="12" t="n">
        <v>1</v>
      </c>
      <c r="O134" s="12"/>
    </row>
    <row r="135" customFormat="false" ht="15" hidden="false" customHeight="false" outlineLevel="0" collapsed="false">
      <c r="A135" s="16" t="s">
        <v>227</v>
      </c>
      <c r="B135" s="16" t="s">
        <v>269</v>
      </c>
      <c r="C135" s="16" t="s">
        <v>59</v>
      </c>
      <c r="D135" s="16" t="n">
        <v>35.611</v>
      </c>
      <c r="E135" s="16" t="n">
        <v>-83.489</v>
      </c>
      <c r="F135" s="17" t="n">
        <v>47</v>
      </c>
      <c r="G135" s="17" t="n">
        <v>0.031</v>
      </c>
      <c r="H135" s="17" t="n">
        <v>0.639</v>
      </c>
      <c r="I135" s="17" t="n">
        <v>0.318</v>
      </c>
      <c r="J135" s="17" t="n">
        <v>0.77</v>
      </c>
      <c r="K135" s="16" t="s">
        <v>64</v>
      </c>
      <c r="L135" s="18" t="b">
        <f aca="false">FALSE()</f>
        <v>0</v>
      </c>
      <c r="M135" s="16"/>
      <c r="N135" s="16" t="n">
        <v>1</v>
      </c>
      <c r="O135" s="16"/>
    </row>
    <row r="136" customFormat="false" ht="15" hidden="false" customHeight="false" outlineLevel="0" collapsed="false">
      <c r="A136" s="12" t="s">
        <v>227</v>
      </c>
      <c r="B136" s="13" t="s">
        <v>270</v>
      </c>
      <c r="C136" s="12" t="s">
        <v>48</v>
      </c>
      <c r="D136" s="12" t="n">
        <v>42.331</v>
      </c>
      <c r="E136" s="12" t="n">
        <v>-83.046</v>
      </c>
      <c r="F136" s="14" t="n">
        <v>45</v>
      </c>
      <c r="G136" s="14" t="n">
        <v>0.416</v>
      </c>
      <c r="H136" s="14" t="n">
        <v>0.079</v>
      </c>
      <c r="I136" s="14" t="n">
        <v>0.353</v>
      </c>
      <c r="J136" s="14" t="n">
        <v>1</v>
      </c>
      <c r="K136" s="12" t="s">
        <v>271</v>
      </c>
      <c r="L136" s="15" t="b">
        <f aca="false">TRUE()</f>
        <v>1</v>
      </c>
      <c r="M136" s="12" t="n">
        <v>19</v>
      </c>
      <c r="N136" s="12" t="n">
        <v>0</v>
      </c>
      <c r="O136" s="12"/>
    </row>
    <row r="137" customFormat="false" ht="15" hidden="false" customHeight="false" outlineLevel="0" collapsed="false">
      <c r="A137" s="16" t="s">
        <v>227</v>
      </c>
      <c r="B137" s="19" t="s">
        <v>272</v>
      </c>
      <c r="C137" s="16" t="s">
        <v>59</v>
      </c>
      <c r="D137" s="16" t="n">
        <v>43.855</v>
      </c>
      <c r="E137" s="16" t="n">
        <v>-102.339</v>
      </c>
      <c r="F137" s="17" t="n">
        <v>45</v>
      </c>
      <c r="G137" s="17" t="n">
        <v>0.028</v>
      </c>
      <c r="H137" s="17" t="n">
        <v>0.69</v>
      </c>
      <c r="I137" s="17" t="n">
        <v>0.302</v>
      </c>
      <c r="J137" s="17" t="n">
        <v>0.7</v>
      </c>
      <c r="K137" s="16" t="s">
        <v>273</v>
      </c>
      <c r="L137" s="18" t="b">
        <f aca="false">TRUE()</f>
        <v>1</v>
      </c>
      <c r="M137" s="16" t="n">
        <v>11</v>
      </c>
      <c r="N137" s="16" t="n">
        <v>0</v>
      </c>
      <c r="O137" s="16"/>
    </row>
    <row r="138" customFormat="false" ht="15" hidden="false" customHeight="false" outlineLevel="0" collapsed="false">
      <c r="A138" s="12" t="s">
        <v>227</v>
      </c>
      <c r="B138" s="13" t="s">
        <v>274</v>
      </c>
      <c r="C138" s="12" t="s">
        <v>48</v>
      </c>
      <c r="D138" s="12" t="n">
        <v>21.307</v>
      </c>
      <c r="E138" s="12" t="n">
        <v>-157.858</v>
      </c>
      <c r="F138" s="14" t="n">
        <v>41</v>
      </c>
      <c r="G138" s="14" t="n">
        <v>0.402</v>
      </c>
      <c r="H138" s="14" t="n">
        <v>0.539</v>
      </c>
      <c r="I138" s="14" t="n">
        <v>0.472</v>
      </c>
      <c r="J138" s="14" t="n">
        <v>0.59</v>
      </c>
      <c r="K138" s="12" t="s">
        <v>107</v>
      </c>
      <c r="L138" s="15" t="b">
        <f aca="false">TRUE()</f>
        <v>1</v>
      </c>
      <c r="M138" s="12" t="n">
        <v>21</v>
      </c>
      <c r="N138" s="12" t="n">
        <v>0</v>
      </c>
      <c r="O138" s="12"/>
    </row>
    <row r="139" customFormat="false" ht="15" hidden="false" customHeight="false" outlineLevel="0" collapsed="false">
      <c r="A139" s="16" t="s">
        <v>227</v>
      </c>
      <c r="B139" s="16" t="s">
        <v>275</v>
      </c>
      <c r="C139" s="16" t="s">
        <v>59</v>
      </c>
      <c r="D139" s="16" t="n">
        <v>37.298</v>
      </c>
      <c r="E139" s="16" t="n">
        <v>-113.026</v>
      </c>
      <c r="F139" s="17" t="n">
        <v>41</v>
      </c>
      <c r="G139" s="17" t="n">
        <v>0.008</v>
      </c>
      <c r="H139" s="17" t="n">
        <v>0.622</v>
      </c>
      <c r="I139" s="17" t="n">
        <v>0.058</v>
      </c>
      <c r="J139" s="17" t="n">
        <v>0.77</v>
      </c>
      <c r="K139" s="16" t="s">
        <v>273</v>
      </c>
      <c r="L139" s="18" t="b">
        <f aca="false">FALSE()</f>
        <v>0</v>
      </c>
      <c r="M139" s="16"/>
      <c r="N139" s="16" t="n">
        <v>0</v>
      </c>
      <c r="O139" s="16"/>
    </row>
    <row r="140" customFormat="false" ht="15" hidden="false" customHeight="false" outlineLevel="0" collapsed="false">
      <c r="A140" s="12" t="s">
        <v>227</v>
      </c>
      <c r="B140" s="12" t="s">
        <v>276</v>
      </c>
      <c r="C140" s="12" t="s">
        <v>48</v>
      </c>
      <c r="D140" s="12" t="n">
        <v>38.008</v>
      </c>
      <c r="E140" s="12" t="n">
        <v>-78.453</v>
      </c>
      <c r="F140" s="14" t="n">
        <v>40</v>
      </c>
      <c r="G140" s="14" t="n">
        <v>0.419</v>
      </c>
      <c r="H140" s="14" t="n">
        <v>0.102</v>
      </c>
      <c r="I140" s="14" t="n">
        <v>0.248</v>
      </c>
      <c r="J140" s="14" t="n">
        <v>1</v>
      </c>
      <c r="K140" s="12" t="s">
        <v>277</v>
      </c>
      <c r="L140" s="15" t="b">
        <f aca="false">FALSE()</f>
        <v>0</v>
      </c>
      <c r="M140" s="12"/>
      <c r="N140" s="12" t="n">
        <v>1</v>
      </c>
      <c r="O140" s="12"/>
    </row>
    <row r="141" customFormat="false" ht="15" hidden="false" customHeight="false" outlineLevel="0" collapsed="false">
      <c r="A141" s="16" t="s">
        <v>227</v>
      </c>
      <c r="B141" s="16" t="s">
        <v>278</v>
      </c>
      <c r="C141" s="16" t="s">
        <v>59</v>
      </c>
      <c r="D141" s="16" t="n">
        <v>36.507</v>
      </c>
      <c r="E141" s="16" t="n">
        <v>-117.079</v>
      </c>
      <c r="F141" s="17" t="n">
        <v>39</v>
      </c>
      <c r="G141" s="17" t="n">
        <v>0.006</v>
      </c>
      <c r="H141" s="17" t="n">
        <v>0.651</v>
      </c>
      <c r="I141" s="17" t="n">
        <v>0.038</v>
      </c>
      <c r="J141" s="17" t="n">
        <v>0.7</v>
      </c>
      <c r="K141" s="16" t="s">
        <v>252</v>
      </c>
      <c r="L141" s="18" t="b">
        <f aca="false">FALSE()</f>
        <v>0</v>
      </c>
      <c r="M141" s="16"/>
      <c r="N141" s="16" t="n">
        <v>0</v>
      </c>
      <c r="O141" s="16"/>
    </row>
    <row r="142" customFormat="false" ht="15" hidden="false" customHeight="false" outlineLevel="0" collapsed="false">
      <c r="A142" s="12" t="s">
        <v>227</v>
      </c>
      <c r="B142" s="12" t="s">
        <v>279</v>
      </c>
      <c r="C142" s="12" t="s">
        <v>48</v>
      </c>
      <c r="D142" s="12" t="n">
        <v>40.038</v>
      </c>
      <c r="E142" s="12" t="n">
        <v>-76.306</v>
      </c>
      <c r="F142" s="14" t="n">
        <v>39</v>
      </c>
      <c r="G142" s="14" t="n">
        <v>0.239</v>
      </c>
      <c r="H142" s="14" t="n">
        <v>0.066</v>
      </c>
      <c r="I142" s="14" t="n">
        <v>0.39</v>
      </c>
      <c r="J142" s="14" t="n">
        <v>1</v>
      </c>
      <c r="K142" s="12" t="s">
        <v>280</v>
      </c>
      <c r="L142" s="15" t="b">
        <f aca="false">FALSE()</f>
        <v>0</v>
      </c>
      <c r="M142" s="12"/>
      <c r="N142" s="12" t="n">
        <v>0</v>
      </c>
      <c r="O142" s="12"/>
    </row>
    <row r="143" customFormat="false" ht="15" hidden="false" customHeight="false" outlineLevel="0" collapsed="false">
      <c r="A143" s="16" t="s">
        <v>227</v>
      </c>
      <c r="B143" s="16" t="s">
        <v>281</v>
      </c>
      <c r="C143" s="16" t="s">
        <v>48</v>
      </c>
      <c r="D143" s="16" t="n">
        <v>40.441</v>
      </c>
      <c r="E143" s="16" t="n">
        <v>-79.996</v>
      </c>
      <c r="F143" s="17" t="n">
        <v>38</v>
      </c>
      <c r="G143" s="17" t="n">
        <v>0.357</v>
      </c>
      <c r="H143" s="17" t="n">
        <v>0.102</v>
      </c>
      <c r="I143" s="17" t="n">
        <v>0.269</v>
      </c>
      <c r="J143" s="17" t="n">
        <v>1</v>
      </c>
      <c r="K143" s="16" t="s">
        <v>282</v>
      </c>
      <c r="L143" s="18" t="b">
        <f aca="false">FALSE()</f>
        <v>0</v>
      </c>
      <c r="M143" s="16"/>
      <c r="N143" s="16" t="n">
        <v>0</v>
      </c>
      <c r="O143" s="16"/>
    </row>
    <row r="144" customFormat="false" ht="15" hidden="false" customHeight="false" outlineLevel="0" collapsed="false">
      <c r="A144" s="12" t="s">
        <v>227</v>
      </c>
      <c r="B144" s="12" t="s">
        <v>283</v>
      </c>
      <c r="C144" s="12" t="s">
        <v>48</v>
      </c>
      <c r="D144" s="12" t="n">
        <v>34.87</v>
      </c>
      <c r="E144" s="12" t="n">
        <v>-111.761</v>
      </c>
      <c r="F144" s="14" t="n">
        <v>36</v>
      </c>
      <c r="G144" s="14" t="n">
        <v>0.04</v>
      </c>
      <c r="H144" s="14" t="n">
        <v>0.456</v>
      </c>
      <c r="I144" s="14" t="n">
        <v>0.302</v>
      </c>
      <c r="J144" s="14" t="n">
        <v>0.77</v>
      </c>
      <c r="K144" s="12" t="s">
        <v>68</v>
      </c>
      <c r="L144" s="15" t="b">
        <f aca="false">FALSE()</f>
        <v>0</v>
      </c>
      <c r="M144" s="12"/>
      <c r="N144" s="12" t="n">
        <v>0</v>
      </c>
      <c r="O144" s="12"/>
    </row>
    <row r="145" customFormat="false" ht="15" hidden="false" customHeight="false" outlineLevel="0" collapsed="false">
      <c r="A145" s="16" t="s">
        <v>227</v>
      </c>
      <c r="B145" s="16" t="s">
        <v>284</v>
      </c>
      <c r="C145" s="16" t="s">
        <v>48</v>
      </c>
      <c r="D145" s="16" t="n">
        <v>41.284</v>
      </c>
      <c r="E145" s="16" t="n">
        <v>-70.1</v>
      </c>
      <c r="F145" s="17" t="n">
        <v>35</v>
      </c>
      <c r="G145" s="17" t="n">
        <v>0.329</v>
      </c>
      <c r="H145" s="17" t="n">
        <v>0.202</v>
      </c>
      <c r="I145" s="17" t="n">
        <v>0.321</v>
      </c>
      <c r="J145" s="17" t="n">
        <v>0.85</v>
      </c>
      <c r="K145" s="16" t="s">
        <v>102</v>
      </c>
      <c r="L145" s="18" t="b">
        <f aca="false">FALSE()</f>
        <v>0</v>
      </c>
      <c r="M145" s="16"/>
      <c r="N145" s="16" t="n">
        <v>0</v>
      </c>
      <c r="O145" s="16"/>
    </row>
    <row r="146" customFormat="false" ht="15" hidden="false" customHeight="false" outlineLevel="0" collapsed="false">
      <c r="A146" s="12" t="s">
        <v>227</v>
      </c>
      <c r="B146" s="12" t="s">
        <v>285</v>
      </c>
      <c r="C146" s="12" t="s">
        <v>48</v>
      </c>
      <c r="D146" s="12" t="n">
        <v>36.439</v>
      </c>
      <c r="E146" s="12" t="n">
        <v>-105.545</v>
      </c>
      <c r="F146" s="14" t="n">
        <v>34</v>
      </c>
      <c r="G146" s="14" t="n">
        <v>0.26</v>
      </c>
      <c r="H146" s="14" t="n">
        <v>0.265</v>
      </c>
      <c r="I146" s="14" t="n">
        <v>0.266</v>
      </c>
      <c r="J146" s="14" t="n">
        <v>0.9</v>
      </c>
      <c r="K146" s="12" t="s">
        <v>286</v>
      </c>
      <c r="L146" s="15" t="b">
        <f aca="false">FALSE()</f>
        <v>0</v>
      </c>
      <c r="M146" s="12"/>
      <c r="N146" s="12" t="n">
        <v>1</v>
      </c>
      <c r="O146" s="12"/>
    </row>
    <row r="147" customFormat="false" ht="15" hidden="false" customHeight="false" outlineLevel="0" collapsed="false">
      <c r="A147" s="16" t="s">
        <v>227</v>
      </c>
      <c r="B147" s="19" t="s">
        <v>287</v>
      </c>
      <c r="C147" s="16" t="s">
        <v>59</v>
      </c>
      <c r="D147" s="16" t="n">
        <v>38.573</v>
      </c>
      <c r="E147" s="16" t="n">
        <v>-109.55</v>
      </c>
      <c r="F147" s="17" t="n">
        <v>33</v>
      </c>
      <c r="G147" s="17" t="n">
        <v>0.008</v>
      </c>
      <c r="H147" s="17" t="n">
        <v>0.643</v>
      </c>
      <c r="I147" s="17" t="n">
        <v>0.115</v>
      </c>
      <c r="J147" s="17" t="n">
        <v>0.59</v>
      </c>
      <c r="K147" s="16" t="s">
        <v>273</v>
      </c>
      <c r="L147" s="18" t="b">
        <f aca="false">TRUE()</f>
        <v>1</v>
      </c>
      <c r="M147" s="16" t="n">
        <v>22</v>
      </c>
      <c r="N147" s="16" t="n">
        <v>0</v>
      </c>
      <c r="O147" s="16"/>
    </row>
    <row r="148" customFormat="false" ht="15" hidden="false" customHeight="false" outlineLevel="0" collapsed="false">
      <c r="A148" s="12" t="s">
        <v>227</v>
      </c>
      <c r="B148" s="13" t="s">
        <v>288</v>
      </c>
      <c r="C148" s="12" t="s">
        <v>59</v>
      </c>
      <c r="D148" s="12" t="n">
        <v>48.76</v>
      </c>
      <c r="E148" s="12" t="n">
        <v>-113.787</v>
      </c>
      <c r="F148" s="14" t="n">
        <v>33</v>
      </c>
      <c r="G148" s="14" t="n">
        <v>0.006</v>
      </c>
      <c r="H148" s="14" t="n">
        <v>0.553</v>
      </c>
      <c r="I148" s="14" t="n">
        <v>0.038</v>
      </c>
      <c r="J148" s="14" t="n">
        <v>0.7</v>
      </c>
      <c r="K148" s="12" t="s">
        <v>142</v>
      </c>
      <c r="L148" s="15" t="b">
        <f aca="false">TRUE()</f>
        <v>1</v>
      </c>
      <c r="M148" s="12" t="n">
        <v>20</v>
      </c>
      <c r="N148" s="12" t="n">
        <v>0</v>
      </c>
      <c r="O148" s="12"/>
    </row>
    <row r="149" customFormat="false" ht="15" hidden="false" customHeight="false" outlineLevel="0" collapsed="false">
      <c r="A149" s="16" t="s">
        <v>227</v>
      </c>
      <c r="B149" s="16" t="s">
        <v>289</v>
      </c>
      <c r="C149" s="16" t="s">
        <v>59</v>
      </c>
      <c r="D149" s="16" t="n">
        <v>37.231</v>
      </c>
      <c r="E149" s="16" t="n">
        <v>-108.462</v>
      </c>
      <c r="F149" s="17" t="n">
        <v>32</v>
      </c>
      <c r="G149" s="17" t="n">
        <v>0.177</v>
      </c>
      <c r="H149" s="17" t="n">
        <v>0.5</v>
      </c>
      <c r="I149" s="17" t="n">
        <v>0.075</v>
      </c>
      <c r="J149" s="17" t="n">
        <v>0.7</v>
      </c>
      <c r="K149" s="16" t="s">
        <v>290</v>
      </c>
      <c r="L149" s="18" t="b">
        <f aca="false">FALSE()</f>
        <v>0</v>
      </c>
      <c r="M149" s="16"/>
      <c r="N149" s="16" t="n">
        <v>1</v>
      </c>
      <c r="O149" s="16"/>
    </row>
    <row r="150" customFormat="false" ht="15" hidden="false" customHeight="false" outlineLevel="0" collapsed="false">
      <c r="A150" s="12" t="s">
        <v>227</v>
      </c>
      <c r="B150" s="13" t="s">
        <v>291</v>
      </c>
      <c r="C150" s="12" t="s">
        <v>48</v>
      </c>
      <c r="D150" s="12" t="n">
        <v>58.302</v>
      </c>
      <c r="E150" s="12" t="n">
        <v>-134.42</v>
      </c>
      <c r="F150" s="14" t="n">
        <v>29</v>
      </c>
      <c r="G150" s="14" t="n">
        <v>0.193</v>
      </c>
      <c r="H150" s="14" t="n">
        <v>0.551</v>
      </c>
      <c r="I150" s="14" t="n">
        <v>0.354</v>
      </c>
      <c r="J150" s="14" t="n">
        <v>0.5</v>
      </c>
      <c r="K150" s="12" t="s">
        <v>292</v>
      </c>
      <c r="L150" s="15" t="b">
        <f aca="false">TRUE()</f>
        <v>1</v>
      </c>
      <c r="M150" s="12" t="n">
        <v>23</v>
      </c>
      <c r="N150" s="12" t="n">
        <v>0</v>
      </c>
      <c r="O150" s="12"/>
    </row>
    <row r="151" customFormat="false" ht="15" hidden="false" customHeight="false" outlineLevel="0" collapsed="false">
      <c r="A151" s="16" t="s">
        <v>227</v>
      </c>
      <c r="B151" s="16" t="s">
        <v>293</v>
      </c>
      <c r="C151" s="16" t="s">
        <v>59</v>
      </c>
      <c r="D151" s="16" t="n">
        <v>36.983</v>
      </c>
      <c r="E151" s="16" t="n">
        <v>-110.099</v>
      </c>
      <c r="F151" s="17" t="n">
        <v>28</v>
      </c>
      <c r="G151" s="17" t="n">
        <v>0.026</v>
      </c>
      <c r="H151" s="17" t="n">
        <v>0.38</v>
      </c>
      <c r="I151" s="17" t="n">
        <v>0.266</v>
      </c>
      <c r="J151" s="17" t="n">
        <v>0.7</v>
      </c>
      <c r="K151" s="16" t="s">
        <v>68</v>
      </c>
      <c r="L151" s="18" t="b">
        <f aca="false">FALSE()</f>
        <v>0</v>
      </c>
      <c r="M151" s="16"/>
      <c r="N151" s="16" t="n">
        <v>0</v>
      </c>
      <c r="O151" s="16"/>
    </row>
    <row r="152" customFormat="false" ht="15" hidden="false" customHeight="false" outlineLevel="0" collapsed="false">
      <c r="A152" s="12" t="s">
        <v>227</v>
      </c>
      <c r="B152" s="12" t="s">
        <v>294</v>
      </c>
      <c r="C152" s="12" t="s">
        <v>59</v>
      </c>
      <c r="D152" s="12" t="n">
        <v>63.11</v>
      </c>
      <c r="E152" s="12" t="n">
        <v>-151.192</v>
      </c>
      <c r="F152" s="14" t="n">
        <v>26</v>
      </c>
      <c r="G152" s="14" t="n">
        <v>0.006</v>
      </c>
      <c r="H152" s="14" t="n">
        <v>0.613</v>
      </c>
      <c r="I152" s="14" t="n">
        <v>0.038</v>
      </c>
      <c r="J152" s="14" t="n">
        <v>0.5</v>
      </c>
      <c r="K152" s="12" t="s">
        <v>60</v>
      </c>
      <c r="L152" s="15" t="b">
        <f aca="false">FALSE()</f>
        <v>0</v>
      </c>
      <c r="M152" s="12"/>
      <c r="N152" s="12" t="n">
        <v>0</v>
      </c>
      <c r="O152" s="12"/>
    </row>
    <row r="153" customFormat="false" ht="15" hidden="false" customHeight="false" outlineLevel="0" collapsed="false">
      <c r="A153" s="16" t="s">
        <v>227</v>
      </c>
      <c r="B153" s="16" t="s">
        <v>295</v>
      </c>
      <c r="C153" s="16" t="s">
        <v>48</v>
      </c>
      <c r="D153" s="16" t="n">
        <v>44.354</v>
      </c>
      <c r="E153" s="16" t="n">
        <v>-68.214</v>
      </c>
      <c r="F153" s="17" t="n">
        <v>26</v>
      </c>
      <c r="G153" s="17" t="n">
        <v>0.04</v>
      </c>
      <c r="H153" s="17" t="n">
        <v>0.325</v>
      </c>
      <c r="I153" s="17" t="n">
        <v>0.211</v>
      </c>
      <c r="J153" s="17" t="n">
        <v>0.77</v>
      </c>
      <c r="K153" s="16" t="s">
        <v>296</v>
      </c>
      <c r="L153" s="18" t="b">
        <f aca="false">FALSE()</f>
        <v>0</v>
      </c>
      <c r="M153" s="16"/>
      <c r="N153" s="16" t="n">
        <v>0</v>
      </c>
      <c r="O153" s="16"/>
    </row>
    <row r="154" customFormat="false" ht="15" hidden="false" customHeight="false" outlineLevel="0" collapsed="false">
      <c r="A154" s="12" t="s">
        <v>227</v>
      </c>
      <c r="B154" s="12" t="s">
        <v>297</v>
      </c>
      <c r="C154" s="12" t="s">
        <v>59</v>
      </c>
      <c r="D154" s="12" t="n">
        <v>39.906</v>
      </c>
      <c r="E154" s="12" t="n">
        <v>-79.468</v>
      </c>
      <c r="F154" s="14" t="n">
        <v>22</v>
      </c>
      <c r="G154" s="14" t="n">
        <v>0.151</v>
      </c>
      <c r="H154" s="14" t="n">
        <v>0.235</v>
      </c>
      <c r="I154" s="14" t="n">
        <v>0.075</v>
      </c>
      <c r="J154" s="14" t="n">
        <v>0.9</v>
      </c>
      <c r="K154" s="12" t="s">
        <v>86</v>
      </c>
      <c r="L154" s="15" t="b">
        <f aca="false">FALSE()</f>
        <v>0</v>
      </c>
      <c r="M154" s="12"/>
      <c r="N154" s="12" t="n">
        <v>1</v>
      </c>
      <c r="O154" s="12"/>
    </row>
    <row r="155" customFormat="false" ht="15" hidden="false" customHeight="false" outlineLevel="0" collapsed="false">
      <c r="A155" s="16" t="s">
        <v>227</v>
      </c>
      <c r="B155" s="16" t="s">
        <v>298</v>
      </c>
      <c r="C155" s="16" t="s">
        <v>59</v>
      </c>
      <c r="D155" s="16" t="n">
        <v>36.27</v>
      </c>
      <c r="E155" s="16" t="n">
        <v>-121.807</v>
      </c>
      <c r="F155" s="17" t="n">
        <v>17</v>
      </c>
      <c r="G155" s="17" t="n">
        <v>0.006</v>
      </c>
      <c r="H155" s="17" t="n">
        <v>0.256</v>
      </c>
      <c r="I155" s="17" t="n">
        <v>0.058</v>
      </c>
      <c r="J155" s="17" t="n">
        <v>0.77</v>
      </c>
      <c r="K155" s="16" t="s">
        <v>249</v>
      </c>
      <c r="L155" s="18" t="b">
        <f aca="false">FALSE()</f>
        <v>0</v>
      </c>
      <c r="M155" s="16"/>
      <c r="N155" s="16" t="n">
        <v>0</v>
      </c>
      <c r="O155" s="16"/>
    </row>
    <row r="156" customFormat="false" ht="15" hidden="false" customHeight="false" outlineLevel="0" collapsed="false">
      <c r="A156" s="12" t="s">
        <v>227</v>
      </c>
      <c r="B156" s="12" t="s">
        <v>299</v>
      </c>
      <c r="C156" s="12" t="s">
        <v>59</v>
      </c>
      <c r="D156" s="12" t="n">
        <v>38.658</v>
      </c>
      <c r="E156" s="12" t="n">
        <v>-90.062</v>
      </c>
      <c r="F156" s="14" t="n">
        <v>13</v>
      </c>
      <c r="G156" s="14" t="n">
        <v>0.151</v>
      </c>
      <c r="H156" s="14" t="n">
        <v>0.033</v>
      </c>
      <c r="I156" s="14" t="n">
        <v>0.038</v>
      </c>
      <c r="J156" s="14" t="n">
        <v>1</v>
      </c>
      <c r="K156" s="12"/>
      <c r="L156" s="15" t="b">
        <f aca="false">FALSE()</f>
        <v>0</v>
      </c>
      <c r="M156" s="12"/>
      <c r="N156" s="12" t="n">
        <v>1</v>
      </c>
      <c r="O156" s="12"/>
    </row>
    <row r="157" customFormat="false" ht="15" hidden="false" customHeight="false" outlineLevel="0" collapsed="false">
      <c r="A157" s="16" t="s">
        <v>227</v>
      </c>
      <c r="B157" s="16" t="s">
        <v>300</v>
      </c>
      <c r="C157" s="16" t="s">
        <v>59</v>
      </c>
      <c r="D157" s="16" t="n">
        <v>32.634</v>
      </c>
      <c r="E157" s="16" t="n">
        <v>-91.411</v>
      </c>
      <c r="F157" s="17"/>
      <c r="G157" s="17" t="n">
        <v>0.127</v>
      </c>
      <c r="H157" s="17" t="n">
        <v>0.15</v>
      </c>
      <c r="I157" s="17" t="n">
        <v>0.038</v>
      </c>
      <c r="J157" s="17" t="n">
        <v>0.42</v>
      </c>
      <c r="K157" s="16"/>
      <c r="L157" s="18" t="b">
        <f aca="false">FALSE()</f>
        <v>0</v>
      </c>
      <c r="M157" s="16"/>
      <c r="N157" s="16" t="n">
        <v>0</v>
      </c>
      <c r="O157" s="16"/>
    </row>
    <row r="159" customFormat="false" ht="15" hidden="false" customHeight="false" outlineLevel="0" collapsed="false">
      <c r="B159" s="20" t="s">
        <v>301</v>
      </c>
    </row>
  </sheetData>
  <autoFilter ref="A1:O15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tru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4" min="3" style="0" width="19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27.75" hidden="false" customHeight="true" outlineLevel="0" collapsed="false">
      <c r="A1" s="11" t="s">
        <v>31</v>
      </c>
      <c r="B1" s="11" t="s">
        <v>302</v>
      </c>
      <c r="C1" s="11" t="s">
        <v>303</v>
      </c>
      <c r="D1" s="11" t="s">
        <v>304</v>
      </c>
      <c r="E1" s="11" t="s">
        <v>305</v>
      </c>
      <c r="F1" s="11" t="s">
        <v>306</v>
      </c>
      <c r="G1" s="11" t="s">
        <v>307</v>
      </c>
      <c r="H1" s="11" t="s">
        <v>308</v>
      </c>
    </row>
    <row r="2" customFormat="false" ht="15" hidden="false" customHeight="false" outlineLevel="0" collapsed="false">
      <c r="A2" s="12" t="s">
        <v>46</v>
      </c>
      <c r="B2" s="12" t="n">
        <v>5</v>
      </c>
      <c r="C2" s="12" t="n">
        <v>0.223</v>
      </c>
      <c r="D2" s="12" t="n">
        <v>0.476</v>
      </c>
      <c r="E2" s="12" t="n">
        <v>8</v>
      </c>
      <c r="F2" s="12" t="n">
        <v>5</v>
      </c>
      <c r="G2" s="12" t="n">
        <v>105</v>
      </c>
      <c r="H2" s="12" t="s">
        <v>309</v>
      </c>
    </row>
    <row r="3" customFormat="false" ht="15" hidden="false" customHeight="false" outlineLevel="0" collapsed="false">
      <c r="A3" s="16" t="s">
        <v>46</v>
      </c>
      <c r="B3" s="16" t="n">
        <v>8</v>
      </c>
      <c r="C3" s="16" t="n">
        <v>0.244</v>
      </c>
      <c r="D3" s="16" t="n">
        <v>0.407</v>
      </c>
      <c r="E3" s="16" t="n">
        <v>8</v>
      </c>
      <c r="F3" s="16" t="n">
        <v>7</v>
      </c>
      <c r="G3" s="16" t="n">
        <v>83</v>
      </c>
      <c r="H3" s="16" t="s">
        <v>309</v>
      </c>
    </row>
    <row r="4" customFormat="false" ht="15" hidden="false" customHeight="false" outlineLevel="0" collapsed="false">
      <c r="A4" s="12" t="s">
        <v>172</v>
      </c>
      <c r="B4" s="12" t="n">
        <v>5</v>
      </c>
      <c r="C4" s="12" t="n">
        <v>0.228</v>
      </c>
      <c r="D4" s="12" t="n">
        <v>0.335</v>
      </c>
      <c r="E4" s="12" t="n">
        <v>8</v>
      </c>
      <c r="F4" s="12" t="n">
        <v>8</v>
      </c>
      <c r="G4" s="12" t="n">
        <v>116</v>
      </c>
      <c r="H4" s="12" t="s">
        <v>310</v>
      </c>
    </row>
    <row r="5" customFormat="false" ht="15" hidden="false" customHeight="false" outlineLevel="0" collapsed="false">
      <c r="A5" s="16" t="s">
        <v>172</v>
      </c>
      <c r="B5" s="16" t="n">
        <v>8</v>
      </c>
      <c r="C5" s="16" t="n">
        <v>0.332</v>
      </c>
      <c r="D5" s="16" t="n">
        <v>0.36</v>
      </c>
      <c r="E5" s="16" t="n">
        <v>9</v>
      </c>
      <c r="F5" s="16" t="n">
        <v>8</v>
      </c>
      <c r="G5" s="16" t="n">
        <v>92</v>
      </c>
      <c r="H5" s="16" t="s">
        <v>309</v>
      </c>
    </row>
    <row r="6" customFormat="false" ht="15" hidden="false" customHeight="false" outlineLevel="0" collapsed="false">
      <c r="A6" s="12" t="s">
        <v>104</v>
      </c>
      <c r="B6" s="12" t="n">
        <v>5</v>
      </c>
      <c r="C6" s="12" t="n">
        <v>0.5</v>
      </c>
      <c r="D6" s="12" t="n">
        <v>0.5</v>
      </c>
      <c r="E6" s="12" t="n">
        <v>4</v>
      </c>
      <c r="F6" s="12" t="n">
        <v>4</v>
      </c>
      <c r="G6" s="12" t="n">
        <v>60</v>
      </c>
      <c r="H6" s="12" t="s">
        <v>311</v>
      </c>
    </row>
    <row r="7" customFormat="false" ht="15" hidden="false" customHeight="false" outlineLevel="0" collapsed="false">
      <c r="A7" s="16" t="s">
        <v>104</v>
      </c>
      <c r="B7" s="16" t="n">
        <v>8</v>
      </c>
      <c r="C7" s="16" t="n">
        <v>0.548</v>
      </c>
      <c r="D7" s="16" t="n">
        <v>0.637</v>
      </c>
      <c r="E7" s="16" t="n">
        <v>6</v>
      </c>
      <c r="F7" s="16" t="n">
        <v>5</v>
      </c>
      <c r="G7" s="16" t="n">
        <v>60</v>
      </c>
      <c r="H7" s="16" t="s">
        <v>309</v>
      </c>
    </row>
    <row r="8" customFormat="false" ht="15" hidden="false" customHeight="false" outlineLevel="0" collapsed="false">
      <c r="A8" s="12" t="s">
        <v>138</v>
      </c>
      <c r="B8" s="12" t="n">
        <v>5</v>
      </c>
      <c r="C8" s="12" t="n">
        <v>0.411</v>
      </c>
      <c r="D8" s="12" t="n">
        <v>0.455</v>
      </c>
      <c r="E8" s="12" t="n">
        <v>7</v>
      </c>
      <c r="F8" s="12" t="n">
        <v>6</v>
      </c>
      <c r="G8" s="12" t="n">
        <v>60</v>
      </c>
      <c r="H8" s="12" t="s">
        <v>309</v>
      </c>
    </row>
    <row r="9" customFormat="false" ht="15" hidden="false" customHeight="false" outlineLevel="0" collapsed="false">
      <c r="A9" s="16" t="s">
        <v>138</v>
      </c>
      <c r="B9" s="16" t="n">
        <v>8</v>
      </c>
      <c r="C9" s="16" t="n">
        <v>0.463</v>
      </c>
      <c r="D9" s="16" t="n">
        <v>0.463</v>
      </c>
      <c r="E9" s="16" t="n">
        <v>7</v>
      </c>
      <c r="F9" s="16" t="n">
        <v>7</v>
      </c>
      <c r="G9" s="16" t="n">
        <v>60</v>
      </c>
      <c r="H9" s="16" t="s">
        <v>311</v>
      </c>
    </row>
    <row r="10" customFormat="false" ht="15" hidden="false" customHeight="false" outlineLevel="0" collapsed="false">
      <c r="A10" s="12" t="s">
        <v>227</v>
      </c>
      <c r="B10" s="12" t="n">
        <v>5</v>
      </c>
      <c r="C10" s="12" t="n">
        <v>0.413</v>
      </c>
      <c r="D10" s="12" t="n">
        <v>0.426</v>
      </c>
      <c r="E10" s="12" t="n">
        <v>7</v>
      </c>
      <c r="F10" s="12" t="n">
        <v>7</v>
      </c>
      <c r="G10" s="12" t="n">
        <v>491</v>
      </c>
      <c r="H10" s="12" t="s">
        <v>310</v>
      </c>
    </row>
    <row r="11" customFormat="false" ht="15" hidden="false" customHeight="false" outlineLevel="0" collapsed="false">
      <c r="A11" s="16" t="s">
        <v>227</v>
      </c>
      <c r="B11" s="16" t="n">
        <v>8</v>
      </c>
      <c r="C11" s="16" t="n">
        <v>0.368</v>
      </c>
      <c r="D11" s="16" t="n">
        <v>0.485</v>
      </c>
      <c r="E11" s="16" t="n">
        <v>9</v>
      </c>
      <c r="F11" s="16" t="n">
        <v>7</v>
      </c>
      <c r="G11" s="16" t="n">
        <v>388</v>
      </c>
      <c r="H11" s="16" t="s">
        <v>309</v>
      </c>
    </row>
    <row r="13" customFormat="false" ht="25.5" hidden="false" customHeight="true" outlineLevel="0" collapsed="false">
      <c r="A13" s="21" t="s">
        <v>312</v>
      </c>
      <c r="B13" s="21"/>
      <c r="C13" s="21"/>
      <c r="D13" s="21"/>
      <c r="E13" s="21"/>
      <c r="F13" s="21"/>
      <c r="G13" s="21"/>
      <c r="H13" s="21"/>
    </row>
    <row r="14" customFormat="false" ht="25.5" hidden="false" customHeight="true" outlineLevel="0" collapsed="false">
      <c r="A14" s="21" t="s">
        <v>313</v>
      </c>
      <c r="B14" s="21"/>
      <c r="C14" s="21"/>
      <c r="D14" s="21"/>
      <c r="E14" s="21"/>
      <c r="F14" s="21"/>
      <c r="G14" s="21"/>
      <c r="H14" s="21"/>
    </row>
    <row r="15" customFormat="false" ht="25.5" hidden="false" customHeight="true" outlineLevel="0" collapsed="false">
      <c r="A15" s="21" t="s">
        <v>314</v>
      </c>
      <c r="B15" s="21"/>
      <c r="C15" s="21"/>
      <c r="D15" s="21"/>
      <c r="E15" s="21"/>
      <c r="F15" s="21"/>
      <c r="G15" s="21"/>
      <c r="H15" s="21"/>
    </row>
  </sheetData>
  <autoFilter ref="A1:H11"/>
  <mergeCells count="3">
    <mergeCell ref="A13:H13"/>
    <mergeCell ref="A14:H1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true"/>
  </sheetPr>
  <dimension ref="A1:I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5"/>
  </cols>
  <sheetData>
    <row r="1" customFormat="false" ht="27.75" hidden="false" customHeight="true" outlineLevel="0" collapsed="false">
      <c r="A1" s="11" t="s">
        <v>31</v>
      </c>
      <c r="B1" s="11" t="s">
        <v>315</v>
      </c>
      <c r="C1" s="11" t="s">
        <v>316</v>
      </c>
      <c r="D1" s="11" t="s">
        <v>317</v>
      </c>
      <c r="E1" s="11" t="s">
        <v>318</v>
      </c>
      <c r="F1" s="11" t="s">
        <v>319</v>
      </c>
      <c r="G1" s="11" t="s">
        <v>320</v>
      </c>
      <c r="H1" s="11" t="s">
        <v>321</v>
      </c>
      <c r="I1" s="11" t="s">
        <v>322</v>
      </c>
    </row>
    <row r="2" customFormat="false" ht="15" hidden="false" customHeight="false" outlineLevel="0" collapsed="false">
      <c r="A2" s="12" t="s">
        <v>323</v>
      </c>
      <c r="B2" s="12" t="s">
        <v>324</v>
      </c>
      <c r="C2" s="12" t="s">
        <v>325</v>
      </c>
      <c r="D2" s="12" t="s">
        <v>326</v>
      </c>
      <c r="E2" s="22" t="n">
        <v>17100000</v>
      </c>
      <c r="F2" s="22" t="n">
        <v>144478050</v>
      </c>
      <c r="G2" s="12" t="s">
        <v>327</v>
      </c>
      <c r="H2" s="12" t="n">
        <v>1108</v>
      </c>
      <c r="I2" s="12" t="n">
        <v>14.594</v>
      </c>
    </row>
    <row r="3" customFormat="false" ht="15" hidden="false" customHeight="false" outlineLevel="0" collapsed="false">
      <c r="A3" s="16" t="s">
        <v>328</v>
      </c>
      <c r="B3" s="16" t="s">
        <v>329</v>
      </c>
      <c r="C3" s="16" t="s">
        <v>330</v>
      </c>
      <c r="D3" s="16" t="s">
        <v>331</v>
      </c>
      <c r="E3" s="23" t="n">
        <v>14000000</v>
      </c>
      <c r="F3" s="23" t="n">
        <v>0</v>
      </c>
      <c r="G3" s="16"/>
      <c r="H3" s="16" t="n">
        <v>0</v>
      </c>
      <c r="I3" s="16" t="n">
        <v>14.096</v>
      </c>
    </row>
    <row r="4" customFormat="false" ht="15" hidden="false" customHeight="false" outlineLevel="0" collapsed="false">
      <c r="A4" s="12" t="s">
        <v>332</v>
      </c>
      <c r="B4" s="12" t="s">
        <v>333</v>
      </c>
      <c r="C4" s="12" t="s">
        <v>334</v>
      </c>
      <c r="D4" s="12" t="s">
        <v>335</v>
      </c>
      <c r="E4" s="22" t="n">
        <v>9984670</v>
      </c>
      <c r="F4" s="22" t="n">
        <v>37058856</v>
      </c>
      <c r="G4" s="12" t="s">
        <v>336</v>
      </c>
      <c r="H4" s="12" t="n">
        <v>507</v>
      </c>
      <c r="I4" s="12" t="n">
        <v>13.254</v>
      </c>
    </row>
    <row r="5" customFormat="false" ht="15" hidden="false" customHeight="false" outlineLevel="0" collapsed="false">
      <c r="A5" s="16" t="s">
        <v>227</v>
      </c>
      <c r="B5" s="16" t="s">
        <v>337</v>
      </c>
      <c r="C5" s="16" t="s">
        <v>338</v>
      </c>
      <c r="D5" s="16" t="s">
        <v>335</v>
      </c>
      <c r="E5" s="23" t="n">
        <v>9629091</v>
      </c>
      <c r="F5" s="23" t="n">
        <v>327167434</v>
      </c>
      <c r="G5" s="16" t="s">
        <v>339</v>
      </c>
      <c r="H5" s="16" t="n">
        <v>3407</v>
      </c>
      <c r="I5" s="16" t="n">
        <v>13.164</v>
      </c>
    </row>
    <row r="6" customFormat="false" ht="15" hidden="false" customHeight="false" outlineLevel="0" collapsed="false">
      <c r="A6" s="12" t="s">
        <v>340</v>
      </c>
      <c r="B6" s="12" t="s">
        <v>341</v>
      </c>
      <c r="C6" s="12" t="s">
        <v>342</v>
      </c>
      <c r="D6" s="12" t="s">
        <v>343</v>
      </c>
      <c r="E6" s="22" t="n">
        <v>9596960</v>
      </c>
      <c r="F6" s="22" t="n">
        <v>1411778724</v>
      </c>
      <c r="G6" s="12" t="s">
        <v>344</v>
      </c>
      <c r="H6" s="12" t="n">
        <v>2106</v>
      </c>
      <c r="I6" s="12" t="n">
        <v>13.156</v>
      </c>
    </row>
    <row r="7" customFormat="false" ht="15" hidden="false" customHeight="false" outlineLevel="0" collapsed="false">
      <c r="A7" s="16" t="s">
        <v>345</v>
      </c>
      <c r="B7" s="16" t="s">
        <v>346</v>
      </c>
      <c r="C7" s="16" t="s">
        <v>347</v>
      </c>
      <c r="D7" s="16" t="s">
        <v>348</v>
      </c>
      <c r="E7" s="23" t="n">
        <v>8511965</v>
      </c>
      <c r="F7" s="23" t="n">
        <v>209469333</v>
      </c>
      <c r="G7" s="16" t="s">
        <v>349</v>
      </c>
      <c r="H7" s="16" t="n">
        <v>2347</v>
      </c>
      <c r="I7" s="16" t="n">
        <v>12.858</v>
      </c>
    </row>
    <row r="8" customFormat="false" ht="15" hidden="false" customHeight="false" outlineLevel="0" collapsed="false">
      <c r="A8" s="12" t="s">
        <v>350</v>
      </c>
      <c r="B8" s="12" t="s">
        <v>351</v>
      </c>
      <c r="C8" s="12" t="s">
        <v>352</v>
      </c>
      <c r="D8" s="12" t="s">
        <v>353</v>
      </c>
      <c r="E8" s="22" t="n">
        <v>7686850</v>
      </c>
      <c r="F8" s="22" t="n">
        <v>24992369</v>
      </c>
      <c r="G8" s="12" t="s">
        <v>354</v>
      </c>
      <c r="H8" s="12" t="n">
        <v>313</v>
      </c>
      <c r="I8" s="12" t="n">
        <v>12.604</v>
      </c>
    </row>
    <row r="9" customFormat="false" ht="15" hidden="false" customHeight="false" outlineLevel="0" collapsed="false">
      <c r="A9" s="16" t="s">
        <v>355</v>
      </c>
      <c r="B9" s="16" t="s">
        <v>356</v>
      </c>
      <c r="C9" s="16" t="s">
        <v>357</v>
      </c>
      <c r="D9" s="16" t="s">
        <v>343</v>
      </c>
      <c r="E9" s="23" t="n">
        <v>3287590</v>
      </c>
      <c r="F9" s="23" t="n">
        <v>1352617328</v>
      </c>
      <c r="G9" s="16" t="s">
        <v>358</v>
      </c>
      <c r="H9" s="16" t="n">
        <v>3779</v>
      </c>
      <c r="I9" s="16" t="n">
        <v>10.502</v>
      </c>
    </row>
    <row r="10" customFormat="false" ht="15" hidden="false" customHeight="false" outlineLevel="0" collapsed="false">
      <c r="A10" s="12" t="s">
        <v>359</v>
      </c>
      <c r="B10" s="12" t="s">
        <v>360</v>
      </c>
      <c r="C10" s="12" t="s">
        <v>361</v>
      </c>
      <c r="D10" s="12" t="s">
        <v>348</v>
      </c>
      <c r="E10" s="22" t="n">
        <v>2766890</v>
      </c>
      <c r="F10" s="22" t="n">
        <v>44494502</v>
      </c>
      <c r="G10" s="12" t="s">
        <v>362</v>
      </c>
      <c r="H10" s="12" t="n">
        <v>326</v>
      </c>
      <c r="I10" s="12" t="n">
        <v>10.078</v>
      </c>
    </row>
    <row r="11" customFormat="false" ht="15" hidden="false" customHeight="false" outlineLevel="0" collapsed="false">
      <c r="A11" s="16" t="s">
        <v>363</v>
      </c>
      <c r="B11" s="16" t="s">
        <v>364</v>
      </c>
      <c r="C11" s="16" t="s">
        <v>365</v>
      </c>
      <c r="D11" s="16" t="s">
        <v>343</v>
      </c>
      <c r="E11" s="23" t="n">
        <v>2717300</v>
      </c>
      <c r="F11" s="23" t="n">
        <v>18276499</v>
      </c>
      <c r="G11" s="16" t="s">
        <v>366</v>
      </c>
      <c r="H11" s="16" t="n">
        <v>84</v>
      </c>
      <c r="I11" s="16" t="n">
        <v>10.034</v>
      </c>
    </row>
    <row r="12" customFormat="false" ht="15" hidden="false" customHeight="false" outlineLevel="0" collapsed="false">
      <c r="A12" s="12" t="s">
        <v>367</v>
      </c>
      <c r="B12" s="12" t="s">
        <v>368</v>
      </c>
      <c r="C12" s="12" t="s">
        <v>369</v>
      </c>
      <c r="D12" s="12" t="s">
        <v>370</v>
      </c>
      <c r="E12" s="22" t="n">
        <v>2381740</v>
      </c>
      <c r="F12" s="22" t="n">
        <v>42228429</v>
      </c>
      <c r="G12" s="12" t="s">
        <v>371</v>
      </c>
      <c r="H12" s="12" t="n">
        <v>294</v>
      </c>
      <c r="I12" s="12" t="n">
        <v>9.711</v>
      </c>
    </row>
    <row r="13" customFormat="false" ht="15" hidden="false" customHeight="false" outlineLevel="0" collapsed="false">
      <c r="A13" s="16" t="s">
        <v>372</v>
      </c>
      <c r="B13" s="16" t="s">
        <v>373</v>
      </c>
      <c r="C13" s="16" t="s">
        <v>374</v>
      </c>
      <c r="D13" s="16" t="s">
        <v>370</v>
      </c>
      <c r="E13" s="23" t="n">
        <v>2345410</v>
      </c>
      <c r="F13" s="23" t="n">
        <v>84068091</v>
      </c>
      <c r="G13" s="16" t="s">
        <v>375</v>
      </c>
      <c r="H13" s="16" t="n">
        <v>114</v>
      </c>
      <c r="I13" s="16" t="n">
        <v>9.673</v>
      </c>
    </row>
    <row r="14" customFormat="false" ht="15" hidden="false" customHeight="false" outlineLevel="0" collapsed="false">
      <c r="A14" s="12" t="s">
        <v>376</v>
      </c>
      <c r="B14" s="12" t="s">
        <v>377</v>
      </c>
      <c r="C14" s="12" t="s">
        <v>378</v>
      </c>
      <c r="D14" s="12" t="s">
        <v>335</v>
      </c>
      <c r="E14" s="22" t="n">
        <v>2166086</v>
      </c>
      <c r="F14" s="22" t="n">
        <v>56025</v>
      </c>
      <c r="G14" s="12" t="s">
        <v>379</v>
      </c>
      <c r="H14" s="12" t="n">
        <v>1</v>
      </c>
      <c r="I14" s="12" t="n">
        <v>9.479</v>
      </c>
    </row>
    <row r="15" customFormat="false" ht="15" hidden="false" customHeight="false" outlineLevel="0" collapsed="false">
      <c r="A15" s="16" t="s">
        <v>380</v>
      </c>
      <c r="B15" s="16" t="s">
        <v>381</v>
      </c>
      <c r="C15" s="16" t="s">
        <v>382</v>
      </c>
      <c r="D15" s="16" t="s">
        <v>335</v>
      </c>
      <c r="E15" s="23" t="n">
        <v>1972550</v>
      </c>
      <c r="F15" s="23" t="n">
        <v>126190788</v>
      </c>
      <c r="G15" s="16" t="s">
        <v>383</v>
      </c>
      <c r="H15" s="16" t="n">
        <v>643</v>
      </c>
      <c r="I15" s="16" t="n">
        <v>9.25</v>
      </c>
    </row>
    <row r="16" customFormat="false" ht="15" hidden="false" customHeight="false" outlineLevel="0" collapsed="false">
      <c r="A16" s="12" t="s">
        <v>384</v>
      </c>
      <c r="B16" s="12" t="s">
        <v>348</v>
      </c>
      <c r="C16" s="12" t="s">
        <v>385</v>
      </c>
      <c r="D16" s="12" t="s">
        <v>343</v>
      </c>
      <c r="E16" s="22" t="n">
        <v>1960582</v>
      </c>
      <c r="F16" s="22" t="n">
        <v>33699947</v>
      </c>
      <c r="G16" s="12" t="s">
        <v>386</v>
      </c>
      <c r="H16" s="12" t="n">
        <v>98</v>
      </c>
      <c r="I16" s="12" t="n">
        <v>9.235</v>
      </c>
    </row>
    <row r="17" customFormat="false" ht="15" hidden="false" customHeight="false" outlineLevel="0" collapsed="false">
      <c r="A17" s="16" t="s">
        <v>387</v>
      </c>
      <c r="B17" s="16" t="s">
        <v>388</v>
      </c>
      <c r="C17" s="16" t="s">
        <v>389</v>
      </c>
      <c r="D17" s="16" t="s">
        <v>343</v>
      </c>
      <c r="E17" s="23" t="n">
        <v>1919440</v>
      </c>
      <c r="F17" s="23" t="n">
        <v>267663435</v>
      </c>
      <c r="G17" s="16" t="s">
        <v>390</v>
      </c>
      <c r="H17" s="16" t="n">
        <v>447</v>
      </c>
      <c r="I17" s="16" t="n">
        <v>9.184</v>
      </c>
    </row>
    <row r="18" customFormat="false" ht="15" hidden="false" customHeight="false" outlineLevel="0" collapsed="false">
      <c r="A18" s="12" t="s">
        <v>391</v>
      </c>
      <c r="B18" s="12" t="s">
        <v>392</v>
      </c>
      <c r="C18" s="12" t="s">
        <v>393</v>
      </c>
      <c r="D18" s="12" t="s">
        <v>370</v>
      </c>
      <c r="E18" s="22" t="n">
        <v>1861484</v>
      </c>
      <c r="F18" s="22" t="n">
        <v>41801533</v>
      </c>
      <c r="G18" s="12" t="s">
        <v>394</v>
      </c>
      <c r="H18" s="12" t="n">
        <v>75</v>
      </c>
      <c r="I18" s="12" t="n">
        <v>9.109</v>
      </c>
    </row>
    <row r="19" customFormat="false" ht="15" hidden="false" customHeight="false" outlineLevel="0" collapsed="false">
      <c r="A19" s="16" t="s">
        <v>395</v>
      </c>
      <c r="B19" s="16" t="s">
        <v>396</v>
      </c>
      <c r="C19" s="16" t="s">
        <v>397</v>
      </c>
      <c r="D19" s="16" t="s">
        <v>370</v>
      </c>
      <c r="E19" s="23" t="n">
        <v>1759540</v>
      </c>
      <c r="F19" s="23" t="n">
        <v>6678567</v>
      </c>
      <c r="G19" s="16" t="s">
        <v>398</v>
      </c>
      <c r="H19" s="16" t="n">
        <v>59</v>
      </c>
      <c r="I19" s="16" t="n">
        <v>8.972</v>
      </c>
    </row>
    <row r="20" customFormat="false" ht="15" hidden="false" customHeight="false" outlineLevel="0" collapsed="false">
      <c r="A20" s="12" t="s">
        <v>399</v>
      </c>
      <c r="B20" s="12" t="s">
        <v>400</v>
      </c>
      <c r="C20" s="12" t="s">
        <v>401</v>
      </c>
      <c r="D20" s="12" t="s">
        <v>343</v>
      </c>
      <c r="E20" s="22" t="n">
        <v>1648000</v>
      </c>
      <c r="F20" s="22" t="n">
        <v>81800269</v>
      </c>
      <c r="G20" s="12" t="s">
        <v>402</v>
      </c>
      <c r="H20" s="12" t="n">
        <v>425</v>
      </c>
      <c r="I20" s="12" t="n">
        <v>8.813</v>
      </c>
    </row>
    <row r="21" customFormat="false" ht="15" hidden="false" customHeight="false" outlineLevel="0" collapsed="false">
      <c r="A21" s="16" t="s">
        <v>403</v>
      </c>
      <c r="B21" s="16" t="s">
        <v>404</v>
      </c>
      <c r="C21" s="16" t="s">
        <v>405</v>
      </c>
      <c r="D21" s="16" t="s">
        <v>343</v>
      </c>
      <c r="E21" s="23" t="n">
        <v>1565000</v>
      </c>
      <c r="F21" s="23" t="n">
        <v>3170208</v>
      </c>
      <c r="G21" s="16" t="s">
        <v>406</v>
      </c>
      <c r="H21" s="16" t="n">
        <v>24</v>
      </c>
      <c r="I21" s="16" t="n">
        <v>8.688</v>
      </c>
    </row>
    <row r="22" customFormat="false" ht="15" hidden="false" customHeight="false" outlineLevel="0" collapsed="false">
      <c r="A22" s="12" t="s">
        <v>407</v>
      </c>
      <c r="B22" s="12" t="s">
        <v>408</v>
      </c>
      <c r="C22" s="12" t="s">
        <v>409</v>
      </c>
      <c r="D22" s="12" t="s">
        <v>348</v>
      </c>
      <c r="E22" s="22" t="n">
        <v>1285220</v>
      </c>
      <c r="F22" s="22" t="n">
        <v>31989256</v>
      </c>
      <c r="G22" s="12" t="s">
        <v>410</v>
      </c>
      <c r="H22" s="12" t="n">
        <v>140</v>
      </c>
      <c r="I22" s="12" t="n">
        <v>8.212</v>
      </c>
    </row>
    <row r="23" customFormat="false" ht="15" hidden="false" customHeight="false" outlineLevel="0" collapsed="false">
      <c r="A23" s="16" t="s">
        <v>411</v>
      </c>
      <c r="B23" s="16" t="s">
        <v>412</v>
      </c>
      <c r="C23" s="16" t="s">
        <v>413</v>
      </c>
      <c r="D23" s="16" t="s">
        <v>370</v>
      </c>
      <c r="E23" s="23" t="n">
        <v>1284000</v>
      </c>
      <c r="F23" s="23" t="n">
        <v>15477751</v>
      </c>
      <c r="G23" s="16" t="s">
        <v>414</v>
      </c>
      <c r="H23" s="16" t="n">
        <v>46</v>
      </c>
      <c r="I23" s="16" t="n">
        <v>8.21</v>
      </c>
    </row>
    <row r="24" customFormat="false" ht="15" hidden="false" customHeight="false" outlineLevel="0" collapsed="false">
      <c r="A24" s="12" t="s">
        <v>415</v>
      </c>
      <c r="B24" s="12" t="s">
        <v>416</v>
      </c>
      <c r="C24" s="12" t="s">
        <v>417</v>
      </c>
      <c r="D24" s="12" t="s">
        <v>370</v>
      </c>
      <c r="E24" s="22" t="n">
        <v>1267000</v>
      </c>
      <c r="F24" s="22" t="n">
        <v>22442948</v>
      </c>
      <c r="G24" s="12" t="s">
        <v>418</v>
      </c>
      <c r="H24" s="12" t="n">
        <v>42</v>
      </c>
      <c r="I24" s="12" t="n">
        <v>8.178</v>
      </c>
    </row>
    <row r="25" customFormat="false" ht="15" hidden="false" customHeight="false" outlineLevel="0" collapsed="false">
      <c r="A25" s="16" t="s">
        <v>419</v>
      </c>
      <c r="B25" s="16" t="s">
        <v>420</v>
      </c>
      <c r="C25" s="16" t="s">
        <v>421</v>
      </c>
      <c r="D25" s="16" t="s">
        <v>370</v>
      </c>
      <c r="E25" s="23" t="n">
        <v>1246700</v>
      </c>
      <c r="F25" s="23" t="n">
        <v>30809762</v>
      </c>
      <c r="G25" s="16" t="s">
        <v>422</v>
      </c>
      <c r="H25" s="16" t="n">
        <v>133</v>
      </c>
      <c r="I25" s="16" t="n">
        <v>8.139</v>
      </c>
    </row>
    <row r="26" customFormat="false" ht="15" hidden="false" customHeight="false" outlineLevel="0" collapsed="false">
      <c r="A26" s="12" t="s">
        <v>423</v>
      </c>
      <c r="B26" s="12" t="s">
        <v>424</v>
      </c>
      <c r="C26" s="12" t="s">
        <v>425</v>
      </c>
      <c r="D26" s="12" t="s">
        <v>370</v>
      </c>
      <c r="E26" s="22" t="n">
        <v>1240000</v>
      </c>
      <c r="F26" s="22" t="n">
        <v>19077690</v>
      </c>
      <c r="G26" s="12" t="s">
        <v>426</v>
      </c>
      <c r="H26" s="12" t="n">
        <v>60</v>
      </c>
      <c r="I26" s="12" t="n">
        <v>8.126</v>
      </c>
    </row>
    <row r="27" customFormat="false" ht="15" hidden="false" customHeight="false" outlineLevel="0" collapsed="false">
      <c r="A27" s="16" t="s">
        <v>427</v>
      </c>
      <c r="B27" s="16" t="s">
        <v>428</v>
      </c>
      <c r="C27" s="16" t="s">
        <v>429</v>
      </c>
      <c r="D27" s="16" t="s">
        <v>370</v>
      </c>
      <c r="E27" s="23" t="n">
        <v>1219912</v>
      </c>
      <c r="F27" s="23" t="n">
        <v>57779622</v>
      </c>
      <c r="G27" s="16" t="s">
        <v>430</v>
      </c>
      <c r="H27" s="16" t="n">
        <v>304</v>
      </c>
      <c r="I27" s="16" t="n">
        <v>8.087</v>
      </c>
    </row>
    <row r="28" customFormat="false" ht="15" hidden="false" customHeight="false" outlineLevel="0" collapsed="false">
      <c r="A28" s="12" t="s">
        <v>431</v>
      </c>
      <c r="B28" s="12" t="s">
        <v>432</v>
      </c>
      <c r="C28" s="12" t="s">
        <v>433</v>
      </c>
      <c r="D28" s="12" t="s">
        <v>348</v>
      </c>
      <c r="E28" s="22" t="n">
        <v>1138910</v>
      </c>
      <c r="F28" s="22" t="n">
        <v>49648685</v>
      </c>
      <c r="G28" s="12" t="s">
        <v>434</v>
      </c>
      <c r="H28" s="12" t="n">
        <v>319</v>
      </c>
      <c r="I28" s="12" t="n">
        <v>7.922</v>
      </c>
    </row>
    <row r="29" customFormat="false" ht="15" hidden="false" customHeight="false" outlineLevel="0" collapsed="false">
      <c r="A29" s="16" t="s">
        <v>435</v>
      </c>
      <c r="B29" s="16" t="s">
        <v>436</v>
      </c>
      <c r="C29" s="16" t="s">
        <v>437</v>
      </c>
      <c r="D29" s="16" t="s">
        <v>370</v>
      </c>
      <c r="E29" s="23" t="n">
        <v>1127127</v>
      </c>
      <c r="F29" s="23" t="n">
        <v>109224559</v>
      </c>
      <c r="G29" s="16" t="s">
        <v>438</v>
      </c>
      <c r="H29" s="16" t="n">
        <v>233</v>
      </c>
      <c r="I29" s="16" t="n">
        <v>7.897</v>
      </c>
    </row>
    <row r="30" customFormat="false" ht="15" hidden="false" customHeight="false" outlineLevel="0" collapsed="false">
      <c r="A30" s="12" t="s">
        <v>439</v>
      </c>
      <c r="B30" s="12" t="s">
        <v>440</v>
      </c>
      <c r="C30" s="12" t="s">
        <v>441</v>
      </c>
      <c r="D30" s="12" t="s">
        <v>348</v>
      </c>
      <c r="E30" s="22" t="n">
        <v>1098580</v>
      </c>
      <c r="F30" s="22" t="n">
        <v>11353142</v>
      </c>
      <c r="G30" s="12" t="s">
        <v>442</v>
      </c>
      <c r="H30" s="12" t="n">
        <v>39</v>
      </c>
      <c r="I30" s="12" t="n">
        <v>7.836</v>
      </c>
    </row>
    <row r="31" customFormat="false" ht="15" hidden="false" customHeight="false" outlineLevel="0" collapsed="false">
      <c r="A31" s="16" t="s">
        <v>443</v>
      </c>
      <c r="B31" s="16" t="s">
        <v>444</v>
      </c>
      <c r="C31" s="16" t="s">
        <v>445</v>
      </c>
      <c r="D31" s="16" t="s">
        <v>370</v>
      </c>
      <c r="E31" s="23" t="n">
        <v>1030700</v>
      </c>
      <c r="F31" s="23" t="n">
        <v>4403319</v>
      </c>
      <c r="G31" s="16" t="s">
        <v>446</v>
      </c>
      <c r="H31" s="16" t="n">
        <v>26</v>
      </c>
      <c r="I31" s="16" t="n">
        <v>7.683</v>
      </c>
    </row>
    <row r="32" customFormat="false" ht="15" hidden="false" customHeight="false" outlineLevel="0" collapsed="false">
      <c r="A32" s="12" t="s">
        <v>447</v>
      </c>
      <c r="B32" s="12" t="s">
        <v>448</v>
      </c>
      <c r="C32" s="12" t="s">
        <v>449</v>
      </c>
      <c r="D32" s="12" t="s">
        <v>370</v>
      </c>
      <c r="E32" s="22" t="n">
        <v>1001450</v>
      </c>
      <c r="F32" s="22" t="n">
        <v>98423595</v>
      </c>
      <c r="G32" s="12" t="s">
        <v>450</v>
      </c>
      <c r="H32" s="12" t="n">
        <v>237</v>
      </c>
      <c r="I32" s="12" t="n">
        <v>7.615</v>
      </c>
    </row>
    <row r="33" customFormat="false" ht="15" hidden="false" customHeight="false" outlineLevel="0" collapsed="false">
      <c r="A33" s="16" t="s">
        <v>451</v>
      </c>
      <c r="B33" s="16" t="s">
        <v>452</v>
      </c>
      <c r="C33" s="16" t="s">
        <v>453</v>
      </c>
      <c r="D33" s="16" t="s">
        <v>370</v>
      </c>
      <c r="E33" s="23" t="n">
        <v>945087</v>
      </c>
      <c r="F33" s="23" t="n">
        <v>56318348</v>
      </c>
      <c r="G33" s="16" t="s">
        <v>454</v>
      </c>
      <c r="H33" s="16" t="n">
        <v>224</v>
      </c>
      <c r="I33" s="16" t="n">
        <v>7.477</v>
      </c>
    </row>
    <row r="34" customFormat="false" ht="15" hidden="false" customHeight="false" outlineLevel="0" collapsed="false">
      <c r="A34" s="12" t="s">
        <v>455</v>
      </c>
      <c r="B34" s="12" t="s">
        <v>456</v>
      </c>
      <c r="C34" s="12" t="s">
        <v>457</v>
      </c>
      <c r="D34" s="12" t="s">
        <v>370</v>
      </c>
      <c r="E34" s="22" t="n">
        <v>923768</v>
      </c>
      <c r="F34" s="22" t="n">
        <v>195874740</v>
      </c>
      <c r="G34" s="12" t="s">
        <v>458</v>
      </c>
      <c r="H34" s="12" t="n">
        <v>269</v>
      </c>
      <c r="I34" s="12" t="n">
        <v>7.423</v>
      </c>
    </row>
    <row r="35" customFormat="false" ht="15" hidden="false" customHeight="false" outlineLevel="0" collapsed="false">
      <c r="A35" s="16" t="s">
        <v>459</v>
      </c>
      <c r="B35" s="16" t="s">
        <v>460</v>
      </c>
      <c r="C35" s="16" t="s">
        <v>461</v>
      </c>
      <c r="D35" s="16" t="s">
        <v>348</v>
      </c>
      <c r="E35" s="23" t="n">
        <v>912050</v>
      </c>
      <c r="F35" s="23" t="n">
        <v>28870195</v>
      </c>
      <c r="G35" s="16" t="s">
        <v>462</v>
      </c>
      <c r="H35" s="16" t="n">
        <v>216</v>
      </c>
      <c r="I35" s="16" t="n">
        <v>7.393</v>
      </c>
    </row>
    <row r="36" customFormat="false" ht="15" hidden="false" customHeight="false" outlineLevel="0" collapsed="false">
      <c r="A36" s="12" t="s">
        <v>463</v>
      </c>
      <c r="B36" s="12" t="s">
        <v>335</v>
      </c>
      <c r="C36" s="12" t="s">
        <v>464</v>
      </c>
      <c r="D36" s="12" t="s">
        <v>370</v>
      </c>
      <c r="E36" s="22" t="n">
        <v>825418</v>
      </c>
      <c r="F36" s="22" t="n">
        <v>2448255</v>
      </c>
      <c r="G36" s="12" t="s">
        <v>465</v>
      </c>
      <c r="H36" s="12" t="n">
        <v>19</v>
      </c>
      <c r="I36" s="12" t="n">
        <v>7.157</v>
      </c>
    </row>
    <row r="37" customFormat="false" ht="15" hidden="false" customHeight="false" outlineLevel="0" collapsed="false">
      <c r="A37" s="16" t="s">
        <v>466</v>
      </c>
      <c r="B37" s="16" t="s">
        <v>467</v>
      </c>
      <c r="C37" s="16" t="s">
        <v>468</v>
      </c>
      <c r="D37" s="16" t="s">
        <v>343</v>
      </c>
      <c r="E37" s="23" t="n">
        <v>803940</v>
      </c>
      <c r="F37" s="23" t="n">
        <v>212215030</v>
      </c>
      <c r="G37" s="16" t="s">
        <v>469</v>
      </c>
      <c r="H37" s="16" t="n">
        <v>370</v>
      </c>
      <c r="I37" s="16" t="n">
        <v>7.095</v>
      </c>
    </row>
    <row r="38" customFormat="false" ht="15" hidden="false" customHeight="false" outlineLevel="0" collapsed="false">
      <c r="A38" s="12" t="s">
        <v>470</v>
      </c>
      <c r="B38" s="12" t="s">
        <v>471</v>
      </c>
      <c r="C38" s="12" t="s">
        <v>472</v>
      </c>
      <c r="D38" s="12" t="s">
        <v>370</v>
      </c>
      <c r="E38" s="22" t="n">
        <v>801590</v>
      </c>
      <c r="F38" s="22" t="n">
        <v>29495962</v>
      </c>
      <c r="G38" s="12" t="s">
        <v>473</v>
      </c>
      <c r="H38" s="12" t="n">
        <v>66</v>
      </c>
      <c r="I38" s="12" t="n">
        <v>7.088</v>
      </c>
    </row>
    <row r="39" customFormat="false" ht="15" hidden="false" customHeight="false" outlineLevel="0" collapsed="false">
      <c r="A39" s="16" t="s">
        <v>474</v>
      </c>
      <c r="B39" s="16" t="s">
        <v>475</v>
      </c>
      <c r="C39" s="16" t="s">
        <v>476</v>
      </c>
      <c r="D39" s="16" t="s">
        <v>343</v>
      </c>
      <c r="E39" s="23" t="n">
        <v>780580</v>
      </c>
      <c r="F39" s="23" t="n">
        <v>82319724</v>
      </c>
      <c r="G39" s="16" t="s">
        <v>477</v>
      </c>
      <c r="H39" s="16" t="n">
        <v>429</v>
      </c>
      <c r="I39" s="16" t="n">
        <v>7.025</v>
      </c>
    </row>
    <row r="40" customFormat="false" ht="15" hidden="false" customHeight="false" outlineLevel="0" collapsed="false">
      <c r="A40" s="12" t="s">
        <v>478</v>
      </c>
      <c r="B40" s="12" t="s">
        <v>479</v>
      </c>
      <c r="C40" s="12" t="s">
        <v>480</v>
      </c>
      <c r="D40" s="12" t="s">
        <v>348</v>
      </c>
      <c r="E40" s="22" t="n">
        <v>756950</v>
      </c>
      <c r="F40" s="22" t="n">
        <v>18729160</v>
      </c>
      <c r="G40" s="12" t="s">
        <v>481</v>
      </c>
      <c r="H40" s="12" t="n">
        <v>147</v>
      </c>
      <c r="I40" s="12" t="n">
        <v>6.953</v>
      </c>
    </row>
    <row r="41" customFormat="false" ht="15" hidden="false" customHeight="false" outlineLevel="0" collapsed="false">
      <c r="A41" s="16" t="s">
        <v>482</v>
      </c>
      <c r="B41" s="16" t="s">
        <v>483</v>
      </c>
      <c r="C41" s="16" t="s">
        <v>484</v>
      </c>
      <c r="D41" s="16" t="s">
        <v>370</v>
      </c>
      <c r="E41" s="23" t="n">
        <v>752614</v>
      </c>
      <c r="F41" s="23" t="n">
        <v>17351822</v>
      </c>
      <c r="G41" s="16" t="s">
        <v>485</v>
      </c>
      <c r="H41" s="16" t="n">
        <v>77</v>
      </c>
      <c r="I41" s="16" t="n">
        <v>6.94</v>
      </c>
    </row>
    <row r="42" customFormat="false" ht="15" hidden="false" customHeight="false" outlineLevel="0" collapsed="false">
      <c r="A42" s="12" t="s">
        <v>486</v>
      </c>
      <c r="B42" s="12" t="s">
        <v>487</v>
      </c>
      <c r="C42" s="12" t="s">
        <v>488</v>
      </c>
      <c r="D42" s="12" t="s">
        <v>343</v>
      </c>
      <c r="E42" s="22" t="n">
        <v>678500</v>
      </c>
      <c r="F42" s="22" t="n">
        <v>53708395</v>
      </c>
      <c r="G42" s="12" t="s">
        <v>489</v>
      </c>
      <c r="H42" s="12" t="n">
        <v>175</v>
      </c>
      <c r="I42" s="12" t="n">
        <v>6.697</v>
      </c>
    </row>
    <row r="43" customFormat="false" ht="15" hidden="false" customHeight="false" outlineLevel="0" collapsed="false">
      <c r="A43" s="16" t="s">
        <v>490</v>
      </c>
      <c r="B43" s="16" t="s">
        <v>370</v>
      </c>
      <c r="C43" s="16" t="s">
        <v>491</v>
      </c>
      <c r="D43" s="16" t="s">
        <v>343</v>
      </c>
      <c r="E43" s="23" t="n">
        <v>647500</v>
      </c>
      <c r="F43" s="23" t="n">
        <v>37172386</v>
      </c>
      <c r="G43" s="16" t="s">
        <v>492</v>
      </c>
      <c r="H43" s="16" t="n">
        <v>54</v>
      </c>
      <c r="I43" s="16" t="n">
        <v>6.589</v>
      </c>
    </row>
    <row r="44" customFormat="false" ht="15" hidden="false" customHeight="false" outlineLevel="0" collapsed="false">
      <c r="A44" s="12" t="s">
        <v>493</v>
      </c>
      <c r="B44" s="12" t="s">
        <v>494</v>
      </c>
      <c r="C44" s="12" t="s">
        <v>495</v>
      </c>
      <c r="D44" s="12" t="s">
        <v>370</v>
      </c>
      <c r="E44" s="22" t="n">
        <v>644329</v>
      </c>
      <c r="F44" s="22" t="n">
        <v>8260490</v>
      </c>
      <c r="G44" s="12" t="s">
        <v>496</v>
      </c>
      <c r="H44" s="12" t="n">
        <v>16</v>
      </c>
      <c r="I44" s="12" t="n">
        <v>6.577</v>
      </c>
    </row>
    <row r="45" customFormat="false" ht="15" hidden="false" customHeight="false" outlineLevel="0" collapsed="false">
      <c r="A45" s="16" t="s">
        <v>497</v>
      </c>
      <c r="B45" s="16" t="s">
        <v>498</v>
      </c>
      <c r="C45" s="16" t="s">
        <v>499</v>
      </c>
      <c r="D45" s="16" t="s">
        <v>370</v>
      </c>
      <c r="E45" s="23" t="n">
        <v>637657</v>
      </c>
      <c r="F45" s="23" t="n">
        <v>15008154</v>
      </c>
      <c r="G45" s="16" t="s">
        <v>500</v>
      </c>
      <c r="H45" s="16" t="n">
        <v>42</v>
      </c>
      <c r="I45" s="16" t="n">
        <v>6.553</v>
      </c>
    </row>
    <row r="46" customFormat="false" ht="15" hidden="false" customHeight="false" outlineLevel="0" collapsed="false">
      <c r="A46" s="12" t="s">
        <v>501</v>
      </c>
      <c r="B46" s="12" t="s">
        <v>502</v>
      </c>
      <c r="C46" s="12" t="s">
        <v>503</v>
      </c>
      <c r="D46" s="12" t="s">
        <v>370</v>
      </c>
      <c r="E46" s="22" t="n">
        <v>622984</v>
      </c>
      <c r="F46" s="22" t="n">
        <v>4666377</v>
      </c>
      <c r="G46" s="12" t="s">
        <v>504</v>
      </c>
      <c r="H46" s="12" t="n">
        <v>33</v>
      </c>
      <c r="I46" s="12" t="n">
        <v>6.499</v>
      </c>
    </row>
    <row r="47" customFormat="false" ht="15" hidden="false" customHeight="false" outlineLevel="0" collapsed="false">
      <c r="A47" s="16" t="s">
        <v>505</v>
      </c>
      <c r="B47" s="16" t="s">
        <v>506</v>
      </c>
      <c r="C47" s="16" t="s">
        <v>507</v>
      </c>
      <c r="D47" s="16" t="s">
        <v>326</v>
      </c>
      <c r="E47" s="23" t="n">
        <v>603700</v>
      </c>
      <c r="F47" s="23" t="n">
        <v>40000000</v>
      </c>
      <c r="G47" s="16" t="s">
        <v>508</v>
      </c>
      <c r="H47" s="16" t="n">
        <v>387</v>
      </c>
      <c r="I47" s="16" t="n">
        <v>6.427</v>
      </c>
    </row>
    <row r="48" customFormat="false" ht="15" hidden="false" customHeight="false" outlineLevel="0" collapsed="false">
      <c r="A48" s="12" t="s">
        <v>509</v>
      </c>
      <c r="B48" s="12" t="s">
        <v>510</v>
      </c>
      <c r="C48" s="12" t="s">
        <v>511</v>
      </c>
      <c r="D48" s="12" t="s">
        <v>370</v>
      </c>
      <c r="E48" s="22" t="n">
        <v>600370</v>
      </c>
      <c r="F48" s="22" t="n">
        <v>2254126</v>
      </c>
      <c r="G48" s="12" t="s">
        <v>512</v>
      </c>
      <c r="H48" s="12" t="n">
        <v>25</v>
      </c>
      <c r="I48" s="12" t="n">
        <v>6.414</v>
      </c>
    </row>
    <row r="49" customFormat="false" ht="15" hidden="false" customHeight="false" outlineLevel="0" collapsed="false">
      <c r="A49" s="16" t="s">
        <v>513</v>
      </c>
      <c r="B49" s="16" t="s">
        <v>514</v>
      </c>
      <c r="C49" s="16" t="s">
        <v>515</v>
      </c>
      <c r="D49" s="16" t="s">
        <v>370</v>
      </c>
      <c r="E49" s="23" t="n">
        <v>587040</v>
      </c>
      <c r="F49" s="23" t="n">
        <v>26262368</v>
      </c>
      <c r="G49" s="16" t="s">
        <v>516</v>
      </c>
      <c r="H49" s="16" t="n">
        <v>106</v>
      </c>
      <c r="I49" s="16" t="n">
        <v>6.362</v>
      </c>
    </row>
    <row r="50" customFormat="false" ht="15" hidden="false" customHeight="false" outlineLevel="0" collapsed="false">
      <c r="A50" s="12" t="s">
        <v>517</v>
      </c>
      <c r="B50" s="12" t="s">
        <v>518</v>
      </c>
      <c r="C50" s="12" t="s">
        <v>519</v>
      </c>
      <c r="D50" s="12" t="s">
        <v>370</v>
      </c>
      <c r="E50" s="22" t="n">
        <v>582650</v>
      </c>
      <c r="F50" s="22" t="n">
        <v>51393010</v>
      </c>
      <c r="G50" s="12" t="s">
        <v>520</v>
      </c>
      <c r="H50" s="12" t="n">
        <v>122</v>
      </c>
      <c r="I50" s="12" t="n">
        <v>6.345</v>
      </c>
    </row>
    <row r="51" customFormat="false" ht="15" hidden="false" customHeight="false" outlineLevel="0" collapsed="false">
      <c r="A51" s="16" t="s">
        <v>172</v>
      </c>
      <c r="B51" s="16" t="s">
        <v>521</v>
      </c>
      <c r="C51" s="16" t="s">
        <v>522</v>
      </c>
      <c r="D51" s="16" t="s">
        <v>326</v>
      </c>
      <c r="E51" s="23" t="n">
        <v>547030</v>
      </c>
      <c r="F51" s="23" t="n">
        <v>66987244</v>
      </c>
      <c r="G51" s="16" t="s">
        <v>173</v>
      </c>
      <c r="H51" s="16" t="n">
        <v>692</v>
      </c>
      <c r="I51" s="16" t="n">
        <v>6.2</v>
      </c>
    </row>
    <row r="52" customFormat="false" ht="15" hidden="false" customHeight="false" outlineLevel="0" collapsed="false">
      <c r="A52" s="12" t="s">
        <v>523</v>
      </c>
      <c r="B52" s="12" t="s">
        <v>524</v>
      </c>
      <c r="C52" s="12" t="s">
        <v>525</v>
      </c>
      <c r="D52" s="12" t="s">
        <v>343</v>
      </c>
      <c r="E52" s="22" t="n">
        <v>527970</v>
      </c>
      <c r="F52" s="22" t="n">
        <v>28498687</v>
      </c>
      <c r="G52" s="12" t="s">
        <v>526</v>
      </c>
      <c r="H52" s="12" t="n">
        <v>25</v>
      </c>
      <c r="I52" s="12" t="n">
        <v>6.119</v>
      </c>
    </row>
    <row r="53" customFormat="false" ht="15" hidden="false" customHeight="false" outlineLevel="0" collapsed="false">
      <c r="A53" s="16" t="s">
        <v>527</v>
      </c>
      <c r="B53" s="16" t="s">
        <v>528</v>
      </c>
      <c r="C53" s="16" t="s">
        <v>529</v>
      </c>
      <c r="D53" s="16" t="s">
        <v>343</v>
      </c>
      <c r="E53" s="23" t="n">
        <v>514000</v>
      </c>
      <c r="F53" s="23" t="n">
        <v>69428524</v>
      </c>
      <c r="G53" s="16" t="s">
        <v>530</v>
      </c>
      <c r="H53" s="16" t="n">
        <v>328</v>
      </c>
      <c r="I53" s="16" t="n">
        <v>6.058</v>
      </c>
    </row>
    <row r="54" customFormat="false" ht="15" hidden="false" customHeight="false" outlineLevel="0" collapsed="false">
      <c r="A54" s="12" t="s">
        <v>531</v>
      </c>
      <c r="B54" s="12" t="s">
        <v>532</v>
      </c>
      <c r="C54" s="12" t="s">
        <v>533</v>
      </c>
      <c r="D54" s="12" t="s">
        <v>326</v>
      </c>
      <c r="E54" s="22" t="n">
        <v>504782</v>
      </c>
      <c r="F54" s="22" t="n">
        <v>46723749</v>
      </c>
      <c r="G54" s="12" t="s">
        <v>534</v>
      </c>
      <c r="H54" s="12" t="n">
        <v>735</v>
      </c>
      <c r="I54" s="12" t="n">
        <v>6.016</v>
      </c>
    </row>
    <row r="55" customFormat="false" ht="15" hidden="false" customHeight="false" outlineLevel="0" collapsed="false">
      <c r="A55" s="16" t="s">
        <v>535</v>
      </c>
      <c r="B55" s="16" t="s">
        <v>536</v>
      </c>
      <c r="C55" s="16" t="s">
        <v>537</v>
      </c>
      <c r="D55" s="16" t="s">
        <v>343</v>
      </c>
      <c r="E55" s="23" t="n">
        <v>488100</v>
      </c>
      <c r="F55" s="23" t="n">
        <v>5850908</v>
      </c>
      <c r="G55" s="16" t="s">
        <v>538</v>
      </c>
      <c r="H55" s="16" t="n">
        <v>35</v>
      </c>
      <c r="I55" s="16" t="n">
        <v>5.94</v>
      </c>
    </row>
    <row r="56" customFormat="false" ht="15" hidden="false" customHeight="false" outlineLevel="0" collapsed="false">
      <c r="A56" s="12" t="s">
        <v>539</v>
      </c>
      <c r="B56" s="12" t="s">
        <v>540</v>
      </c>
      <c r="C56" s="12" t="s">
        <v>541</v>
      </c>
      <c r="D56" s="12" t="s">
        <v>370</v>
      </c>
      <c r="E56" s="22" t="n">
        <v>475440</v>
      </c>
      <c r="F56" s="22" t="n">
        <v>25216237</v>
      </c>
      <c r="G56" s="12" t="s">
        <v>542</v>
      </c>
      <c r="H56" s="12" t="n">
        <v>87</v>
      </c>
      <c r="I56" s="12" t="n">
        <v>5.881</v>
      </c>
    </row>
    <row r="57" customFormat="false" ht="15" hidden="false" customHeight="false" outlineLevel="0" collapsed="false">
      <c r="A57" s="16" t="s">
        <v>543</v>
      </c>
      <c r="B57" s="16" t="s">
        <v>544</v>
      </c>
      <c r="C57" s="16" t="s">
        <v>545</v>
      </c>
      <c r="D57" s="16" t="s">
        <v>353</v>
      </c>
      <c r="E57" s="23" t="n">
        <v>462840</v>
      </c>
      <c r="F57" s="23" t="n">
        <v>8606316</v>
      </c>
      <c r="G57" s="16" t="s">
        <v>546</v>
      </c>
      <c r="H57" s="16" t="n">
        <v>13</v>
      </c>
      <c r="I57" s="16" t="n">
        <v>5.82</v>
      </c>
    </row>
    <row r="58" customFormat="false" ht="15" hidden="false" customHeight="false" outlineLevel="0" collapsed="false">
      <c r="A58" s="12" t="s">
        <v>547</v>
      </c>
      <c r="B58" s="12" t="s">
        <v>548</v>
      </c>
      <c r="C58" s="12" t="s">
        <v>549</v>
      </c>
      <c r="D58" s="12" t="s">
        <v>326</v>
      </c>
      <c r="E58" s="22" t="n">
        <v>449964</v>
      </c>
      <c r="F58" s="22" t="n">
        <v>10183175</v>
      </c>
      <c r="G58" s="12" t="s">
        <v>550</v>
      </c>
      <c r="H58" s="12" t="n">
        <v>109</v>
      </c>
      <c r="I58" s="12" t="n">
        <v>5.756</v>
      </c>
    </row>
    <row r="59" customFormat="false" ht="15" hidden="false" customHeight="false" outlineLevel="0" collapsed="false">
      <c r="A59" s="16" t="s">
        <v>551</v>
      </c>
      <c r="B59" s="16" t="s">
        <v>552</v>
      </c>
      <c r="C59" s="16" t="s">
        <v>553</v>
      </c>
      <c r="D59" s="16" t="s">
        <v>343</v>
      </c>
      <c r="E59" s="23" t="n">
        <v>447400</v>
      </c>
      <c r="F59" s="23" t="n">
        <v>32955400</v>
      </c>
      <c r="G59" s="16" t="s">
        <v>554</v>
      </c>
      <c r="H59" s="16" t="n">
        <v>112</v>
      </c>
      <c r="I59" s="16" t="n">
        <v>5.743</v>
      </c>
    </row>
    <row r="60" customFormat="false" ht="15" hidden="false" customHeight="false" outlineLevel="0" collapsed="false">
      <c r="A60" s="12" t="s">
        <v>46</v>
      </c>
      <c r="B60" s="12" t="s">
        <v>555</v>
      </c>
      <c r="C60" s="12" t="s">
        <v>556</v>
      </c>
      <c r="D60" s="12" t="s">
        <v>370</v>
      </c>
      <c r="E60" s="22" t="n">
        <v>446550</v>
      </c>
      <c r="F60" s="22" t="n">
        <v>36029138</v>
      </c>
      <c r="G60" s="12" t="s">
        <v>65</v>
      </c>
      <c r="H60" s="12" t="n">
        <v>180</v>
      </c>
      <c r="I60" s="12" t="n">
        <v>5.739</v>
      </c>
    </row>
    <row r="61" customFormat="false" ht="15" hidden="false" customHeight="false" outlineLevel="0" collapsed="false">
      <c r="A61" s="16" t="s">
        <v>557</v>
      </c>
      <c r="B61" s="16" t="s">
        <v>558</v>
      </c>
      <c r="C61" s="16" t="s">
        <v>559</v>
      </c>
      <c r="D61" s="16" t="s">
        <v>343</v>
      </c>
      <c r="E61" s="23" t="n">
        <v>437072</v>
      </c>
      <c r="F61" s="23" t="n">
        <v>38433600</v>
      </c>
      <c r="G61" s="16" t="s">
        <v>560</v>
      </c>
      <c r="H61" s="16" t="n">
        <v>100</v>
      </c>
      <c r="I61" s="16" t="n">
        <v>5.691</v>
      </c>
    </row>
    <row r="62" customFormat="false" ht="15" hidden="false" customHeight="false" outlineLevel="0" collapsed="false">
      <c r="A62" s="12" t="s">
        <v>561</v>
      </c>
      <c r="B62" s="12" t="s">
        <v>562</v>
      </c>
      <c r="C62" s="12" t="s">
        <v>563</v>
      </c>
      <c r="D62" s="12" t="s">
        <v>348</v>
      </c>
      <c r="E62" s="22" t="n">
        <v>406750</v>
      </c>
      <c r="F62" s="22" t="n">
        <v>6956071</v>
      </c>
      <c r="G62" s="12" t="s">
        <v>564</v>
      </c>
      <c r="H62" s="12" t="n">
        <v>28</v>
      </c>
      <c r="I62" s="12" t="n">
        <v>5.53</v>
      </c>
    </row>
    <row r="63" customFormat="false" ht="15" hidden="false" customHeight="false" outlineLevel="0" collapsed="false">
      <c r="A63" s="16" t="s">
        <v>565</v>
      </c>
      <c r="B63" s="16" t="s">
        <v>566</v>
      </c>
      <c r="C63" s="16" t="s">
        <v>567</v>
      </c>
      <c r="D63" s="16" t="s">
        <v>370</v>
      </c>
      <c r="E63" s="23" t="n">
        <v>390580</v>
      </c>
      <c r="F63" s="23" t="n">
        <v>16868409</v>
      </c>
      <c r="G63" s="16" t="s">
        <v>568</v>
      </c>
      <c r="H63" s="16" t="n">
        <v>31</v>
      </c>
      <c r="I63" s="16" t="n">
        <v>5.44</v>
      </c>
    </row>
    <row r="64" customFormat="false" ht="15" hidden="false" customHeight="false" outlineLevel="0" collapsed="false">
      <c r="A64" s="12" t="s">
        <v>569</v>
      </c>
      <c r="B64" s="12" t="s">
        <v>570</v>
      </c>
      <c r="C64" s="12" t="s">
        <v>571</v>
      </c>
      <c r="D64" s="12" t="s">
        <v>343</v>
      </c>
      <c r="E64" s="22" t="n">
        <v>377835</v>
      </c>
      <c r="F64" s="22" t="n">
        <v>126529100</v>
      </c>
      <c r="G64" s="12" t="s">
        <v>572</v>
      </c>
      <c r="H64" s="12" t="n">
        <v>1300</v>
      </c>
      <c r="I64" s="12" t="n">
        <v>5.367</v>
      </c>
    </row>
    <row r="65" customFormat="false" ht="15" hidden="false" customHeight="false" outlineLevel="0" collapsed="false">
      <c r="A65" s="16" t="s">
        <v>573</v>
      </c>
      <c r="B65" s="16" t="s">
        <v>574</v>
      </c>
      <c r="C65" s="16" t="s">
        <v>575</v>
      </c>
      <c r="D65" s="16" t="s">
        <v>326</v>
      </c>
      <c r="E65" s="23" t="n">
        <v>357021</v>
      </c>
      <c r="F65" s="23" t="n">
        <v>82927922</v>
      </c>
      <c r="G65" s="16" t="s">
        <v>576</v>
      </c>
      <c r="H65" s="16" t="n">
        <v>1139</v>
      </c>
      <c r="I65" s="16" t="n">
        <v>5.242</v>
      </c>
    </row>
    <row r="66" customFormat="false" ht="15" hidden="false" customHeight="false" outlineLevel="0" collapsed="false">
      <c r="A66" s="12" t="s">
        <v>577</v>
      </c>
      <c r="B66" s="12" t="s">
        <v>578</v>
      </c>
      <c r="C66" s="12" t="s">
        <v>579</v>
      </c>
      <c r="D66" s="12" t="s">
        <v>370</v>
      </c>
      <c r="E66" s="22" t="n">
        <v>342000</v>
      </c>
      <c r="F66" s="22" t="n">
        <v>5244363</v>
      </c>
      <c r="G66" s="12" t="s">
        <v>580</v>
      </c>
      <c r="H66" s="12" t="n">
        <v>23</v>
      </c>
      <c r="I66" s="12" t="n">
        <v>5.148</v>
      </c>
    </row>
    <row r="67" customFormat="false" ht="15" hidden="false" customHeight="false" outlineLevel="0" collapsed="false">
      <c r="A67" s="16" t="s">
        <v>581</v>
      </c>
      <c r="B67" s="16" t="s">
        <v>582</v>
      </c>
      <c r="C67" s="16" t="s">
        <v>583</v>
      </c>
      <c r="D67" s="16" t="s">
        <v>326</v>
      </c>
      <c r="E67" s="23" t="n">
        <v>337030</v>
      </c>
      <c r="F67" s="23" t="n">
        <v>5518050</v>
      </c>
      <c r="G67" s="16" t="s">
        <v>584</v>
      </c>
      <c r="H67" s="16" t="n">
        <v>103</v>
      </c>
      <c r="I67" s="16" t="n">
        <v>5.116</v>
      </c>
    </row>
    <row r="68" customFormat="false" ht="15" hidden="false" customHeight="false" outlineLevel="0" collapsed="false">
      <c r="A68" s="12" t="s">
        <v>585</v>
      </c>
      <c r="B68" s="12" t="s">
        <v>586</v>
      </c>
      <c r="C68" s="12" t="s">
        <v>587</v>
      </c>
      <c r="D68" s="12" t="s">
        <v>343</v>
      </c>
      <c r="E68" s="22" t="n">
        <v>329750</v>
      </c>
      <c r="F68" s="22" t="n">
        <v>31528585</v>
      </c>
      <c r="G68" s="12" t="s">
        <v>588</v>
      </c>
      <c r="H68" s="12" t="n">
        <v>355</v>
      </c>
      <c r="I68" s="12" t="n">
        <v>5.069</v>
      </c>
    </row>
    <row r="69" customFormat="false" ht="15" hidden="false" customHeight="false" outlineLevel="0" collapsed="false">
      <c r="A69" s="16" t="s">
        <v>589</v>
      </c>
      <c r="B69" s="16" t="s">
        <v>590</v>
      </c>
      <c r="C69" s="16" t="s">
        <v>591</v>
      </c>
      <c r="D69" s="16" t="s">
        <v>343</v>
      </c>
      <c r="E69" s="23" t="n">
        <v>329560</v>
      </c>
      <c r="F69" s="23" t="n">
        <v>95540395</v>
      </c>
      <c r="G69" s="16" t="s">
        <v>592</v>
      </c>
      <c r="H69" s="16" t="n">
        <v>296</v>
      </c>
      <c r="I69" s="16" t="n">
        <v>5.067</v>
      </c>
    </row>
    <row r="70" customFormat="false" ht="15" hidden="false" customHeight="false" outlineLevel="0" collapsed="false">
      <c r="A70" s="12" t="s">
        <v>593</v>
      </c>
      <c r="B70" s="12" t="s">
        <v>594</v>
      </c>
      <c r="C70" s="12" t="s">
        <v>595</v>
      </c>
      <c r="D70" s="12" t="s">
        <v>326</v>
      </c>
      <c r="E70" s="22" t="n">
        <v>324220</v>
      </c>
      <c r="F70" s="22" t="n">
        <v>5314336</v>
      </c>
      <c r="G70" s="12" t="s">
        <v>596</v>
      </c>
      <c r="H70" s="12" t="n">
        <v>41</v>
      </c>
      <c r="I70" s="12" t="n">
        <v>5.032</v>
      </c>
    </row>
    <row r="71" customFormat="false" ht="15" hidden="false" customHeight="false" outlineLevel="0" collapsed="false">
      <c r="A71" s="16" t="s">
        <v>597</v>
      </c>
      <c r="B71" s="16" t="s">
        <v>598</v>
      </c>
      <c r="C71" s="16" t="s">
        <v>599</v>
      </c>
      <c r="D71" s="16" t="s">
        <v>370</v>
      </c>
      <c r="E71" s="23" t="n">
        <v>322460</v>
      </c>
      <c r="F71" s="23" t="n">
        <v>25069229</v>
      </c>
      <c r="G71" s="16" t="s">
        <v>600</v>
      </c>
      <c r="H71" s="16" t="n">
        <v>183</v>
      </c>
      <c r="I71" s="16" t="n">
        <v>5.02</v>
      </c>
    </row>
    <row r="72" customFormat="false" ht="15" hidden="false" customHeight="false" outlineLevel="0" collapsed="false">
      <c r="A72" s="12" t="s">
        <v>601</v>
      </c>
      <c r="B72" s="12" t="s">
        <v>602</v>
      </c>
      <c r="C72" s="12" t="s">
        <v>603</v>
      </c>
      <c r="D72" s="12" t="s">
        <v>326</v>
      </c>
      <c r="E72" s="22" t="n">
        <v>312685</v>
      </c>
      <c r="F72" s="22" t="n">
        <v>37978548</v>
      </c>
      <c r="G72" s="12" t="s">
        <v>604</v>
      </c>
      <c r="H72" s="12" t="n">
        <v>363</v>
      </c>
      <c r="I72" s="12" t="n">
        <v>4.954</v>
      </c>
    </row>
    <row r="73" customFormat="false" ht="15" hidden="false" customHeight="false" outlineLevel="0" collapsed="false">
      <c r="A73" s="16" t="s">
        <v>605</v>
      </c>
      <c r="B73" s="16" t="s">
        <v>606</v>
      </c>
      <c r="C73" s="16" t="s">
        <v>607</v>
      </c>
      <c r="D73" s="16" t="s">
        <v>326</v>
      </c>
      <c r="E73" s="23" t="n">
        <v>301230</v>
      </c>
      <c r="F73" s="23" t="n">
        <v>60431283</v>
      </c>
      <c r="G73" s="16" t="s">
        <v>608</v>
      </c>
      <c r="H73" s="16" t="n">
        <v>658</v>
      </c>
      <c r="I73" s="16" t="n">
        <v>4.874</v>
      </c>
    </row>
    <row r="74" customFormat="false" ht="15" hidden="false" customHeight="false" outlineLevel="0" collapsed="false">
      <c r="A74" s="12" t="s">
        <v>609</v>
      </c>
      <c r="B74" s="12" t="s">
        <v>610</v>
      </c>
      <c r="C74" s="12" t="s">
        <v>611</v>
      </c>
      <c r="D74" s="12" t="s">
        <v>343</v>
      </c>
      <c r="E74" s="22" t="n">
        <v>300000</v>
      </c>
      <c r="F74" s="22" t="n">
        <v>106651922</v>
      </c>
      <c r="G74" s="12" t="s">
        <v>612</v>
      </c>
      <c r="H74" s="12" t="n">
        <v>531</v>
      </c>
      <c r="I74" s="12" t="n">
        <v>4.865</v>
      </c>
    </row>
    <row r="75" customFormat="false" ht="15" hidden="false" customHeight="false" outlineLevel="0" collapsed="false">
      <c r="A75" s="16" t="s">
        <v>613</v>
      </c>
      <c r="B75" s="16" t="s">
        <v>614</v>
      </c>
      <c r="C75" s="16" t="s">
        <v>615</v>
      </c>
      <c r="D75" s="16" t="s">
        <v>348</v>
      </c>
      <c r="E75" s="23" t="n">
        <v>283560</v>
      </c>
      <c r="F75" s="23" t="n">
        <v>17084357</v>
      </c>
      <c r="G75" s="16" t="s">
        <v>616</v>
      </c>
      <c r="H75" s="16" t="n">
        <v>71</v>
      </c>
      <c r="I75" s="16" t="n">
        <v>4.744</v>
      </c>
    </row>
    <row r="76" customFormat="false" ht="15" hidden="false" customHeight="false" outlineLevel="0" collapsed="false">
      <c r="A76" s="12" t="s">
        <v>617</v>
      </c>
      <c r="B76" s="12" t="s">
        <v>618</v>
      </c>
      <c r="C76" s="12" t="s">
        <v>619</v>
      </c>
      <c r="D76" s="12" t="s">
        <v>370</v>
      </c>
      <c r="E76" s="22" t="n">
        <v>274200</v>
      </c>
      <c r="F76" s="22" t="n">
        <v>19751535</v>
      </c>
      <c r="G76" s="12" t="s">
        <v>620</v>
      </c>
      <c r="H76" s="12" t="n">
        <v>74</v>
      </c>
      <c r="I76" s="12" t="n">
        <v>4.673</v>
      </c>
    </row>
    <row r="77" customFormat="false" ht="15" hidden="false" customHeight="false" outlineLevel="0" collapsed="false">
      <c r="A77" s="16" t="s">
        <v>621</v>
      </c>
      <c r="B77" s="16" t="s">
        <v>622</v>
      </c>
      <c r="C77" s="16" t="s">
        <v>623</v>
      </c>
      <c r="D77" s="16" t="s">
        <v>353</v>
      </c>
      <c r="E77" s="23" t="n">
        <v>268680</v>
      </c>
      <c r="F77" s="23" t="n">
        <v>4885500</v>
      </c>
      <c r="G77" s="16" t="s">
        <v>624</v>
      </c>
      <c r="H77" s="16" t="n">
        <v>58</v>
      </c>
      <c r="I77" s="16" t="n">
        <v>4.63</v>
      </c>
    </row>
    <row r="78" customFormat="false" ht="15" hidden="false" customHeight="false" outlineLevel="0" collapsed="false">
      <c r="A78" s="12" t="s">
        <v>625</v>
      </c>
      <c r="B78" s="12" t="s">
        <v>626</v>
      </c>
      <c r="C78" s="12" t="s">
        <v>627</v>
      </c>
      <c r="D78" s="12" t="s">
        <v>370</v>
      </c>
      <c r="E78" s="22" t="n">
        <v>267667</v>
      </c>
      <c r="F78" s="22" t="n">
        <v>2119275</v>
      </c>
      <c r="G78" s="12" t="s">
        <v>628</v>
      </c>
      <c r="H78" s="12" t="n">
        <v>15</v>
      </c>
      <c r="I78" s="12" t="n">
        <v>4.622</v>
      </c>
    </row>
    <row r="79" customFormat="false" ht="15" hidden="false" customHeight="false" outlineLevel="0" collapsed="false">
      <c r="A79" s="16" t="s">
        <v>629</v>
      </c>
      <c r="B79" s="16" t="s">
        <v>630</v>
      </c>
      <c r="C79" s="16" t="s">
        <v>631</v>
      </c>
      <c r="D79" s="16" t="s">
        <v>370</v>
      </c>
      <c r="E79" s="23" t="n">
        <v>266000</v>
      </c>
      <c r="F79" s="23" t="n">
        <v>273008</v>
      </c>
      <c r="G79" s="16" t="s">
        <v>632</v>
      </c>
      <c r="H79" s="16" t="n">
        <v>4</v>
      </c>
      <c r="I79" s="16" t="n">
        <v>4.609</v>
      </c>
    </row>
    <row r="80" customFormat="false" ht="15" hidden="false" customHeight="false" outlineLevel="0" collapsed="false">
      <c r="A80" s="12" t="s">
        <v>633</v>
      </c>
      <c r="B80" s="12" t="s">
        <v>634</v>
      </c>
      <c r="C80" s="12" t="s">
        <v>635</v>
      </c>
      <c r="D80" s="12" t="s">
        <v>370</v>
      </c>
      <c r="E80" s="22" t="n">
        <v>245857</v>
      </c>
      <c r="F80" s="22" t="n">
        <v>12414318</v>
      </c>
      <c r="G80" s="12" t="s">
        <v>636</v>
      </c>
      <c r="H80" s="12" t="n">
        <v>47</v>
      </c>
      <c r="I80" s="12" t="n">
        <v>4.445</v>
      </c>
    </row>
    <row r="81" customFormat="false" ht="15" hidden="false" customHeight="false" outlineLevel="0" collapsed="false">
      <c r="A81" s="16" t="s">
        <v>637</v>
      </c>
      <c r="B81" s="16" t="s">
        <v>638</v>
      </c>
      <c r="C81" s="16" t="s">
        <v>639</v>
      </c>
      <c r="D81" s="16" t="s">
        <v>326</v>
      </c>
      <c r="E81" s="23" t="n">
        <v>244820</v>
      </c>
      <c r="F81" s="23" t="n">
        <v>66488991</v>
      </c>
      <c r="G81" s="16" t="s">
        <v>640</v>
      </c>
      <c r="H81" s="16" t="n">
        <v>865</v>
      </c>
      <c r="I81" s="16" t="n">
        <v>4.436</v>
      </c>
    </row>
    <row r="82" customFormat="false" ht="15" hidden="false" customHeight="false" outlineLevel="0" collapsed="false">
      <c r="A82" s="12" t="s">
        <v>641</v>
      </c>
      <c r="B82" s="12" t="s">
        <v>642</v>
      </c>
      <c r="C82" s="12" t="s">
        <v>643</v>
      </c>
      <c r="D82" s="12" t="s">
        <v>370</v>
      </c>
      <c r="E82" s="22" t="n">
        <v>239460</v>
      </c>
      <c r="F82" s="22" t="n">
        <v>29767108</v>
      </c>
      <c r="G82" s="12" t="s">
        <v>644</v>
      </c>
      <c r="H82" s="12" t="n">
        <v>102</v>
      </c>
      <c r="I82" s="12" t="n">
        <v>4.39</v>
      </c>
    </row>
    <row r="83" customFormat="false" ht="15" hidden="false" customHeight="false" outlineLevel="0" collapsed="false">
      <c r="A83" s="16" t="s">
        <v>645</v>
      </c>
      <c r="B83" s="16" t="s">
        <v>646</v>
      </c>
      <c r="C83" s="16" t="s">
        <v>647</v>
      </c>
      <c r="D83" s="16" t="s">
        <v>326</v>
      </c>
      <c r="E83" s="23" t="n">
        <v>237500</v>
      </c>
      <c r="F83" s="23" t="n">
        <v>19473936</v>
      </c>
      <c r="G83" s="16" t="s">
        <v>648</v>
      </c>
      <c r="H83" s="16" t="n">
        <v>134</v>
      </c>
      <c r="I83" s="16" t="n">
        <v>4.373</v>
      </c>
    </row>
    <row r="84" customFormat="false" ht="15" hidden="false" customHeight="false" outlineLevel="0" collapsed="false">
      <c r="A84" s="12" t="s">
        <v>649</v>
      </c>
      <c r="B84" s="12" t="s">
        <v>650</v>
      </c>
      <c r="C84" s="12" t="s">
        <v>651</v>
      </c>
      <c r="D84" s="12" t="s">
        <v>343</v>
      </c>
      <c r="E84" s="22" t="n">
        <v>236800</v>
      </c>
      <c r="F84" s="22" t="n">
        <v>7061507</v>
      </c>
      <c r="G84" s="12" t="s">
        <v>652</v>
      </c>
      <c r="H84" s="12" t="n">
        <v>18</v>
      </c>
      <c r="I84" s="12" t="n">
        <v>4.367</v>
      </c>
    </row>
    <row r="85" customFormat="false" ht="15" hidden="false" customHeight="false" outlineLevel="0" collapsed="false">
      <c r="A85" s="16" t="s">
        <v>653</v>
      </c>
      <c r="B85" s="16" t="s">
        <v>654</v>
      </c>
      <c r="C85" s="16" t="s">
        <v>655</v>
      </c>
      <c r="D85" s="16" t="s">
        <v>370</v>
      </c>
      <c r="E85" s="23" t="n">
        <v>236040</v>
      </c>
      <c r="F85" s="23" t="n">
        <v>42723139</v>
      </c>
      <c r="G85" s="16" t="s">
        <v>656</v>
      </c>
      <c r="H85" s="16" t="n">
        <v>141</v>
      </c>
      <c r="I85" s="16" t="n">
        <v>4.36</v>
      </c>
    </row>
    <row r="86" customFormat="false" ht="15" hidden="false" customHeight="false" outlineLevel="0" collapsed="false">
      <c r="A86" s="12" t="s">
        <v>657</v>
      </c>
      <c r="B86" s="12" t="s">
        <v>658</v>
      </c>
      <c r="C86" s="12" t="s">
        <v>659</v>
      </c>
      <c r="D86" s="12" t="s">
        <v>348</v>
      </c>
      <c r="E86" s="22" t="n">
        <v>214970</v>
      </c>
      <c r="F86" s="22" t="n">
        <v>779004</v>
      </c>
      <c r="G86" s="12" t="s">
        <v>660</v>
      </c>
      <c r="H86" s="12" t="n">
        <v>3</v>
      </c>
      <c r="I86" s="12" t="n">
        <v>4.169</v>
      </c>
    </row>
    <row r="87" customFormat="false" ht="15" hidden="false" customHeight="false" outlineLevel="0" collapsed="false">
      <c r="A87" s="16" t="s">
        <v>661</v>
      </c>
      <c r="B87" s="16" t="s">
        <v>662</v>
      </c>
      <c r="C87" s="16" t="s">
        <v>663</v>
      </c>
      <c r="D87" s="16" t="s">
        <v>343</v>
      </c>
      <c r="E87" s="23" t="n">
        <v>212460</v>
      </c>
      <c r="F87" s="23" t="n">
        <v>4829483</v>
      </c>
      <c r="G87" s="16" t="s">
        <v>664</v>
      </c>
      <c r="H87" s="16" t="n">
        <v>27</v>
      </c>
      <c r="I87" s="16" t="n">
        <v>4.145</v>
      </c>
    </row>
    <row r="88" customFormat="false" ht="15" hidden="false" customHeight="false" outlineLevel="0" collapsed="false">
      <c r="A88" s="12" t="s">
        <v>665</v>
      </c>
      <c r="B88" s="12" t="s">
        <v>666</v>
      </c>
      <c r="C88" s="12" t="s">
        <v>667</v>
      </c>
      <c r="D88" s="12" t="s">
        <v>326</v>
      </c>
      <c r="E88" s="22" t="n">
        <v>207600</v>
      </c>
      <c r="F88" s="22" t="n">
        <v>9485386</v>
      </c>
      <c r="G88" s="12" t="s">
        <v>668</v>
      </c>
      <c r="H88" s="12" t="n">
        <v>56</v>
      </c>
      <c r="I88" s="12" t="n">
        <v>4.098</v>
      </c>
    </row>
    <row r="89" customFormat="false" ht="15" hidden="false" customHeight="false" outlineLevel="0" collapsed="false">
      <c r="A89" s="16" t="s">
        <v>669</v>
      </c>
      <c r="B89" s="16" t="s">
        <v>670</v>
      </c>
      <c r="C89" s="16" t="s">
        <v>671</v>
      </c>
      <c r="D89" s="16" t="s">
        <v>343</v>
      </c>
      <c r="E89" s="23" t="n">
        <v>198500</v>
      </c>
      <c r="F89" s="23" t="n">
        <v>6315800</v>
      </c>
      <c r="G89" s="16" t="s">
        <v>672</v>
      </c>
      <c r="H89" s="16" t="n">
        <v>31</v>
      </c>
      <c r="I89" s="16" t="n">
        <v>4.009</v>
      </c>
    </row>
    <row r="90" customFormat="false" ht="15" hidden="false" customHeight="false" outlineLevel="0" collapsed="false">
      <c r="A90" s="12" t="s">
        <v>673</v>
      </c>
      <c r="B90" s="12" t="s">
        <v>674</v>
      </c>
      <c r="C90" s="12" t="s">
        <v>675</v>
      </c>
      <c r="D90" s="12" t="s">
        <v>370</v>
      </c>
      <c r="E90" s="22" t="n">
        <v>196190</v>
      </c>
      <c r="F90" s="22" t="n">
        <v>15854360</v>
      </c>
      <c r="G90" s="12" t="s">
        <v>676</v>
      </c>
      <c r="H90" s="12" t="n">
        <v>70</v>
      </c>
      <c r="I90" s="12" t="n">
        <v>3.985</v>
      </c>
    </row>
    <row r="91" customFormat="false" ht="15" hidden="false" customHeight="false" outlineLevel="0" collapsed="false">
      <c r="A91" s="16" t="s">
        <v>677</v>
      </c>
      <c r="B91" s="16" t="s">
        <v>678</v>
      </c>
      <c r="C91" s="16" t="s">
        <v>679</v>
      </c>
      <c r="D91" s="16" t="s">
        <v>343</v>
      </c>
      <c r="E91" s="23" t="n">
        <v>185180</v>
      </c>
      <c r="F91" s="23" t="n">
        <v>16906283</v>
      </c>
      <c r="G91" s="16" t="s">
        <v>680</v>
      </c>
      <c r="H91" s="16" t="n">
        <v>88</v>
      </c>
      <c r="I91" s="16" t="n">
        <v>3.871</v>
      </c>
    </row>
    <row r="92" customFormat="false" ht="15" hidden="false" customHeight="false" outlineLevel="0" collapsed="false">
      <c r="A92" s="12" t="s">
        <v>681</v>
      </c>
      <c r="B92" s="12" t="s">
        <v>682</v>
      </c>
      <c r="C92" s="12" t="s">
        <v>683</v>
      </c>
      <c r="D92" s="12" t="s">
        <v>343</v>
      </c>
      <c r="E92" s="22" t="n">
        <v>181040</v>
      </c>
      <c r="F92" s="22" t="n">
        <v>16249798</v>
      </c>
      <c r="G92" s="12" t="s">
        <v>684</v>
      </c>
      <c r="H92" s="12" t="n">
        <v>46</v>
      </c>
      <c r="I92" s="12" t="n">
        <v>3.826</v>
      </c>
    </row>
    <row r="93" customFormat="false" ht="15" hidden="false" customHeight="false" outlineLevel="0" collapsed="false">
      <c r="A93" s="16" t="s">
        <v>685</v>
      </c>
      <c r="B93" s="16" t="s">
        <v>686</v>
      </c>
      <c r="C93" s="16" t="s">
        <v>687</v>
      </c>
      <c r="D93" s="16" t="s">
        <v>348</v>
      </c>
      <c r="E93" s="23" t="n">
        <v>176220</v>
      </c>
      <c r="F93" s="23" t="n">
        <v>3449299</v>
      </c>
      <c r="G93" s="16" t="s">
        <v>688</v>
      </c>
      <c r="H93" s="16" t="n">
        <v>31</v>
      </c>
      <c r="I93" s="16" t="n">
        <v>3.774</v>
      </c>
    </row>
    <row r="94" customFormat="false" ht="15" hidden="false" customHeight="false" outlineLevel="0" collapsed="false">
      <c r="A94" s="12" t="s">
        <v>689</v>
      </c>
      <c r="B94" s="12" t="s">
        <v>690</v>
      </c>
      <c r="C94" s="12" t="s">
        <v>691</v>
      </c>
      <c r="D94" s="12" t="s">
        <v>370</v>
      </c>
      <c r="E94" s="22" t="n">
        <v>163610</v>
      </c>
      <c r="F94" s="22" t="n">
        <v>11565204</v>
      </c>
      <c r="G94" s="12" t="s">
        <v>692</v>
      </c>
      <c r="H94" s="12" t="n">
        <v>130</v>
      </c>
      <c r="I94" s="12" t="n">
        <v>3.63</v>
      </c>
    </row>
    <row r="95" customFormat="false" ht="15" hidden="false" customHeight="false" outlineLevel="0" collapsed="false">
      <c r="A95" s="16" t="s">
        <v>693</v>
      </c>
      <c r="B95" s="16" t="s">
        <v>694</v>
      </c>
      <c r="C95" s="16" t="s">
        <v>695</v>
      </c>
      <c r="D95" s="16" t="s">
        <v>348</v>
      </c>
      <c r="E95" s="23" t="n">
        <v>163270</v>
      </c>
      <c r="F95" s="23" t="n">
        <v>575991</v>
      </c>
      <c r="G95" s="16" t="s">
        <v>696</v>
      </c>
      <c r="H95" s="16" t="n">
        <v>12</v>
      </c>
      <c r="I95" s="16" t="n">
        <v>3.626</v>
      </c>
    </row>
    <row r="96" customFormat="false" ht="15" hidden="false" customHeight="false" outlineLevel="0" collapsed="false">
      <c r="A96" s="12" t="s">
        <v>697</v>
      </c>
      <c r="B96" s="12" t="s">
        <v>698</v>
      </c>
      <c r="C96" s="12" t="s">
        <v>699</v>
      </c>
      <c r="D96" s="12" t="s">
        <v>343</v>
      </c>
      <c r="E96" s="22" t="n">
        <v>144000</v>
      </c>
      <c r="F96" s="22" t="n">
        <v>161356039</v>
      </c>
      <c r="G96" s="12" t="s">
        <v>700</v>
      </c>
      <c r="H96" s="12" t="n">
        <v>137</v>
      </c>
      <c r="I96" s="12" t="n">
        <v>3.39</v>
      </c>
    </row>
    <row r="97" customFormat="false" ht="15" hidden="false" customHeight="false" outlineLevel="0" collapsed="false">
      <c r="A97" s="16" t="s">
        <v>701</v>
      </c>
      <c r="B97" s="16" t="s">
        <v>702</v>
      </c>
      <c r="C97" s="16" t="s">
        <v>703</v>
      </c>
      <c r="D97" s="16" t="s">
        <v>343</v>
      </c>
      <c r="E97" s="23" t="n">
        <v>143100</v>
      </c>
      <c r="F97" s="23" t="n">
        <v>9100837</v>
      </c>
      <c r="G97" s="16" t="s">
        <v>704</v>
      </c>
      <c r="H97" s="16" t="n">
        <v>31</v>
      </c>
      <c r="I97" s="16" t="n">
        <v>3.378</v>
      </c>
    </row>
    <row r="98" customFormat="false" ht="15" hidden="false" customHeight="false" outlineLevel="0" collapsed="false">
      <c r="A98" s="12" t="s">
        <v>138</v>
      </c>
      <c r="B98" s="12" t="s">
        <v>705</v>
      </c>
      <c r="C98" s="12" t="s">
        <v>706</v>
      </c>
      <c r="D98" s="12" t="s">
        <v>343</v>
      </c>
      <c r="E98" s="22" t="n">
        <v>140800</v>
      </c>
      <c r="F98" s="22" t="n">
        <v>28087871</v>
      </c>
      <c r="G98" s="12" t="s">
        <v>139</v>
      </c>
      <c r="H98" s="12" t="n">
        <v>46</v>
      </c>
      <c r="I98" s="12" t="n">
        <v>3.348</v>
      </c>
    </row>
    <row r="99" customFormat="false" ht="15" hidden="false" customHeight="false" outlineLevel="0" collapsed="false">
      <c r="A99" s="16" t="s">
        <v>707</v>
      </c>
      <c r="B99" s="16" t="s">
        <v>708</v>
      </c>
      <c r="C99" s="16" t="s">
        <v>709</v>
      </c>
      <c r="D99" s="16" t="s">
        <v>326</v>
      </c>
      <c r="E99" s="23" t="n">
        <v>131940</v>
      </c>
      <c r="F99" s="23" t="n">
        <v>10727668</v>
      </c>
      <c r="G99" s="16" t="s">
        <v>710</v>
      </c>
      <c r="H99" s="16" t="n">
        <v>118</v>
      </c>
      <c r="I99" s="16" t="n">
        <v>3.229</v>
      </c>
    </row>
    <row r="100" customFormat="false" ht="15" hidden="false" customHeight="false" outlineLevel="0" collapsed="false">
      <c r="A100" s="12" t="s">
        <v>711</v>
      </c>
      <c r="B100" s="12" t="s">
        <v>712</v>
      </c>
      <c r="C100" s="12" t="s">
        <v>713</v>
      </c>
      <c r="D100" s="12" t="s">
        <v>335</v>
      </c>
      <c r="E100" s="22" t="n">
        <v>129494</v>
      </c>
      <c r="F100" s="22" t="n">
        <v>6465513</v>
      </c>
      <c r="G100" s="12" t="s">
        <v>714</v>
      </c>
      <c r="H100" s="12" t="n">
        <v>37</v>
      </c>
      <c r="I100" s="12" t="n">
        <v>3.195</v>
      </c>
    </row>
    <row r="101" customFormat="false" ht="15" hidden="false" customHeight="false" outlineLevel="0" collapsed="false">
      <c r="A101" s="16" t="s">
        <v>715</v>
      </c>
      <c r="B101" s="16" t="s">
        <v>716</v>
      </c>
      <c r="C101" s="16" t="s">
        <v>717</v>
      </c>
      <c r="D101" s="16" t="s">
        <v>370</v>
      </c>
      <c r="E101" s="23" t="n">
        <v>121320</v>
      </c>
      <c r="F101" s="23" t="n">
        <v>6209262</v>
      </c>
      <c r="G101" s="16" t="s">
        <v>718</v>
      </c>
      <c r="H101" s="16" t="n">
        <v>7</v>
      </c>
      <c r="I101" s="16" t="n">
        <v>3.079</v>
      </c>
    </row>
    <row r="102" customFormat="false" ht="15" hidden="false" customHeight="false" outlineLevel="0" collapsed="false">
      <c r="A102" s="12" t="s">
        <v>719</v>
      </c>
      <c r="B102" s="12" t="s">
        <v>720</v>
      </c>
      <c r="C102" s="12" t="s">
        <v>721</v>
      </c>
      <c r="D102" s="12" t="s">
        <v>343</v>
      </c>
      <c r="E102" s="22" t="n">
        <v>120540</v>
      </c>
      <c r="F102" s="22" t="n">
        <v>25549819</v>
      </c>
      <c r="G102" s="12" t="s">
        <v>722</v>
      </c>
      <c r="H102" s="12" t="n">
        <v>97</v>
      </c>
      <c r="I102" s="12" t="n">
        <v>3.067</v>
      </c>
    </row>
    <row r="103" customFormat="false" ht="15" hidden="false" customHeight="false" outlineLevel="0" collapsed="false">
      <c r="A103" s="16" t="s">
        <v>723</v>
      </c>
      <c r="B103" s="16" t="s">
        <v>724</v>
      </c>
      <c r="C103" s="16" t="s">
        <v>725</v>
      </c>
      <c r="D103" s="16" t="s">
        <v>370</v>
      </c>
      <c r="E103" s="23" t="n">
        <v>118480</v>
      </c>
      <c r="F103" s="23" t="n">
        <v>17563749</v>
      </c>
      <c r="G103" s="16" t="s">
        <v>726</v>
      </c>
      <c r="H103" s="16" t="n">
        <v>23</v>
      </c>
      <c r="I103" s="16" t="n">
        <v>3.037</v>
      </c>
    </row>
    <row r="104" customFormat="false" ht="15" hidden="false" customHeight="false" outlineLevel="0" collapsed="false">
      <c r="A104" s="12" t="s">
        <v>727</v>
      </c>
      <c r="B104" s="12" t="s">
        <v>728</v>
      </c>
      <c r="C104" s="12" t="s">
        <v>729</v>
      </c>
      <c r="D104" s="12" t="s">
        <v>370</v>
      </c>
      <c r="E104" s="22" t="n">
        <v>112620</v>
      </c>
      <c r="F104" s="22" t="n">
        <v>11485048</v>
      </c>
      <c r="G104" s="12" t="s">
        <v>730</v>
      </c>
      <c r="H104" s="12" t="n">
        <v>66</v>
      </c>
      <c r="I104" s="12" t="n">
        <v>2.948</v>
      </c>
    </row>
    <row r="105" customFormat="false" ht="15" hidden="false" customHeight="false" outlineLevel="0" collapsed="false">
      <c r="A105" s="16" t="s">
        <v>731</v>
      </c>
      <c r="B105" s="16" t="s">
        <v>732</v>
      </c>
      <c r="C105" s="16" t="s">
        <v>733</v>
      </c>
      <c r="D105" s="16" t="s">
        <v>335</v>
      </c>
      <c r="E105" s="23" t="n">
        <v>112090</v>
      </c>
      <c r="F105" s="23" t="n">
        <v>9587522</v>
      </c>
      <c r="G105" s="16" t="s">
        <v>734</v>
      </c>
      <c r="H105" s="16" t="n">
        <v>65</v>
      </c>
      <c r="I105" s="16" t="n">
        <v>2.94</v>
      </c>
    </row>
    <row r="106" customFormat="false" ht="15" hidden="false" customHeight="false" outlineLevel="0" collapsed="false">
      <c r="A106" s="12" t="s">
        <v>735</v>
      </c>
      <c r="B106" s="12" t="s">
        <v>736</v>
      </c>
      <c r="C106" s="12" t="s">
        <v>737</v>
      </c>
      <c r="D106" s="12" t="s">
        <v>370</v>
      </c>
      <c r="E106" s="22" t="n">
        <v>111370</v>
      </c>
      <c r="F106" s="22" t="n">
        <v>4818977</v>
      </c>
      <c r="G106" s="12" t="s">
        <v>738</v>
      </c>
      <c r="H106" s="12" t="n">
        <v>16</v>
      </c>
      <c r="I106" s="12" t="n">
        <v>2.929</v>
      </c>
    </row>
    <row r="107" customFormat="false" ht="15" hidden="false" customHeight="false" outlineLevel="0" collapsed="false">
      <c r="A107" s="16" t="s">
        <v>739</v>
      </c>
      <c r="B107" s="16" t="s">
        <v>740</v>
      </c>
      <c r="C107" s="16" t="s">
        <v>741</v>
      </c>
      <c r="D107" s="16" t="s">
        <v>326</v>
      </c>
      <c r="E107" s="23" t="n">
        <v>110910</v>
      </c>
      <c r="F107" s="23" t="n">
        <v>7000039</v>
      </c>
      <c r="G107" s="16" t="s">
        <v>742</v>
      </c>
      <c r="H107" s="16" t="n">
        <v>56</v>
      </c>
      <c r="I107" s="16" t="n">
        <v>2.922</v>
      </c>
    </row>
    <row r="108" customFormat="false" ht="15" hidden="false" customHeight="false" outlineLevel="0" collapsed="false">
      <c r="A108" s="12" t="s">
        <v>743</v>
      </c>
      <c r="B108" s="12" t="s">
        <v>744</v>
      </c>
      <c r="C108" s="12" t="s">
        <v>745</v>
      </c>
      <c r="D108" s="12" t="s">
        <v>335</v>
      </c>
      <c r="E108" s="22" t="n">
        <v>110860</v>
      </c>
      <c r="F108" s="22" t="n">
        <v>11338138</v>
      </c>
      <c r="G108" s="12" t="s">
        <v>746</v>
      </c>
      <c r="H108" s="12" t="n">
        <v>140</v>
      </c>
      <c r="I108" s="12" t="n">
        <v>2.921</v>
      </c>
    </row>
    <row r="109" customFormat="false" ht="15" hidden="false" customHeight="false" outlineLevel="0" collapsed="false">
      <c r="A109" s="16" t="s">
        <v>747</v>
      </c>
      <c r="B109" s="16" t="s">
        <v>748</v>
      </c>
      <c r="C109" s="16" t="s">
        <v>749</v>
      </c>
      <c r="D109" s="16" t="s">
        <v>335</v>
      </c>
      <c r="E109" s="23" t="n">
        <v>108890</v>
      </c>
      <c r="F109" s="23" t="n">
        <v>17247807</v>
      </c>
      <c r="G109" s="16" t="s">
        <v>750</v>
      </c>
      <c r="H109" s="16" t="n">
        <v>102</v>
      </c>
      <c r="I109" s="16" t="n">
        <v>2.89</v>
      </c>
    </row>
    <row r="110" customFormat="false" ht="15" hidden="false" customHeight="false" outlineLevel="0" collapsed="false">
      <c r="A110" s="12" t="s">
        <v>104</v>
      </c>
      <c r="B110" s="12" t="s">
        <v>751</v>
      </c>
      <c r="C110" s="12" t="s">
        <v>752</v>
      </c>
      <c r="D110" s="12" t="s">
        <v>326</v>
      </c>
      <c r="E110" s="22" t="n">
        <v>103000</v>
      </c>
      <c r="F110" s="22" t="n">
        <v>353574</v>
      </c>
      <c r="G110" s="12" t="s">
        <v>105</v>
      </c>
      <c r="H110" s="12" t="n">
        <v>6</v>
      </c>
      <c r="I110" s="12" t="n">
        <v>2.796</v>
      </c>
    </row>
    <row r="111" customFormat="false" ht="15" hidden="false" customHeight="false" outlineLevel="0" collapsed="false">
      <c r="A111" s="16" t="s">
        <v>753</v>
      </c>
      <c r="B111" s="16" t="s">
        <v>754</v>
      </c>
      <c r="C111" s="16" t="s">
        <v>755</v>
      </c>
      <c r="D111" s="16" t="s">
        <v>326</v>
      </c>
      <c r="E111" s="23" t="n">
        <v>102350</v>
      </c>
      <c r="F111" s="23" t="n">
        <v>10829175</v>
      </c>
      <c r="G111" s="16" t="s">
        <v>756</v>
      </c>
      <c r="H111" s="16" t="n">
        <v>0</v>
      </c>
      <c r="I111" s="16" t="n">
        <v>2.785</v>
      </c>
    </row>
    <row r="112" customFormat="false" ht="15" hidden="false" customHeight="false" outlineLevel="0" collapsed="false">
      <c r="A112" s="12" t="s">
        <v>757</v>
      </c>
      <c r="B112" s="12" t="s">
        <v>758</v>
      </c>
      <c r="C112" s="12" t="s">
        <v>759</v>
      </c>
      <c r="D112" s="12" t="s">
        <v>343</v>
      </c>
      <c r="E112" s="22" t="n">
        <v>98480</v>
      </c>
      <c r="F112" s="22" t="n">
        <v>51635256</v>
      </c>
      <c r="G112" s="12" t="s">
        <v>760</v>
      </c>
      <c r="H112" s="12" t="n">
        <v>147</v>
      </c>
      <c r="I112" s="12" t="n">
        <v>2.721</v>
      </c>
    </row>
    <row r="113" customFormat="false" ht="15" hidden="false" customHeight="false" outlineLevel="0" collapsed="false">
      <c r="A113" s="16" t="s">
        <v>761</v>
      </c>
      <c r="B113" s="16" t="s">
        <v>762</v>
      </c>
      <c r="C113" s="16" t="s">
        <v>763</v>
      </c>
      <c r="D113" s="16" t="s">
        <v>326</v>
      </c>
      <c r="E113" s="23" t="n">
        <v>93030</v>
      </c>
      <c r="F113" s="23" t="n">
        <v>9768785</v>
      </c>
      <c r="G113" s="16" t="s">
        <v>764</v>
      </c>
      <c r="H113" s="16" t="n">
        <v>139</v>
      </c>
      <c r="I113" s="16" t="n">
        <v>2.628</v>
      </c>
    </row>
    <row r="114" customFormat="false" ht="15" hidden="false" customHeight="false" outlineLevel="0" collapsed="false">
      <c r="A114" s="12" t="s">
        <v>765</v>
      </c>
      <c r="B114" s="12" t="s">
        <v>766</v>
      </c>
      <c r="C114" s="12" t="s">
        <v>767</v>
      </c>
      <c r="D114" s="12" t="s">
        <v>326</v>
      </c>
      <c r="E114" s="22" t="n">
        <v>92391</v>
      </c>
      <c r="F114" s="22" t="n">
        <v>10281762</v>
      </c>
      <c r="G114" s="12" t="s">
        <v>768</v>
      </c>
      <c r="H114" s="12" t="n">
        <v>179</v>
      </c>
      <c r="I114" s="12" t="n">
        <v>2.616</v>
      </c>
    </row>
    <row r="115" customFormat="false" ht="15" hidden="false" customHeight="false" outlineLevel="0" collapsed="false">
      <c r="A115" s="16" t="s">
        <v>769</v>
      </c>
      <c r="B115" s="16" t="s">
        <v>770</v>
      </c>
      <c r="C115" s="16" t="s">
        <v>771</v>
      </c>
      <c r="D115" s="16" t="s">
        <v>343</v>
      </c>
      <c r="E115" s="23" t="n">
        <v>92300</v>
      </c>
      <c r="F115" s="23" t="n">
        <v>9956011</v>
      </c>
      <c r="G115" s="16" t="s">
        <v>772</v>
      </c>
      <c r="H115" s="16" t="n">
        <v>34</v>
      </c>
      <c r="I115" s="16" t="n">
        <v>2.615</v>
      </c>
    </row>
    <row r="116" customFormat="false" ht="15" hidden="false" customHeight="false" outlineLevel="0" collapsed="false">
      <c r="A116" s="12" t="s">
        <v>773</v>
      </c>
      <c r="B116" s="12" t="s">
        <v>774</v>
      </c>
      <c r="C116" s="12" t="s">
        <v>775</v>
      </c>
      <c r="D116" s="12" t="s">
        <v>348</v>
      </c>
      <c r="E116" s="22" t="n">
        <v>91000</v>
      </c>
      <c r="F116" s="22" t="n">
        <v>195506</v>
      </c>
      <c r="G116" s="12" t="s">
        <v>776</v>
      </c>
      <c r="H116" s="12" t="n">
        <v>5</v>
      </c>
      <c r="I116" s="12" t="n">
        <v>2.592</v>
      </c>
    </row>
    <row r="117" customFormat="false" ht="15" hidden="false" customHeight="false" outlineLevel="0" collapsed="false">
      <c r="A117" s="16" t="s">
        <v>777</v>
      </c>
      <c r="B117" s="16" t="s">
        <v>778</v>
      </c>
      <c r="C117" s="16" t="s">
        <v>779</v>
      </c>
      <c r="D117" s="16" t="s">
        <v>326</v>
      </c>
      <c r="E117" s="23" t="n">
        <v>88361</v>
      </c>
      <c r="F117" s="23" t="n">
        <v>6982084</v>
      </c>
      <c r="G117" s="16" t="s">
        <v>756</v>
      </c>
      <c r="H117" s="16" t="n">
        <v>50</v>
      </c>
      <c r="I117" s="16" t="n">
        <v>2.545</v>
      </c>
    </row>
    <row r="118" customFormat="false" ht="15" hidden="false" customHeight="false" outlineLevel="0" collapsed="false">
      <c r="A118" s="12" t="s">
        <v>780</v>
      </c>
      <c r="B118" s="12" t="s">
        <v>781</v>
      </c>
      <c r="C118" s="12" t="s">
        <v>782</v>
      </c>
      <c r="D118" s="12" t="s">
        <v>343</v>
      </c>
      <c r="E118" s="22" t="n">
        <v>86600</v>
      </c>
      <c r="F118" s="22" t="n">
        <v>10224900</v>
      </c>
      <c r="G118" s="12" t="s">
        <v>783</v>
      </c>
      <c r="H118" s="12" t="n">
        <v>65</v>
      </c>
      <c r="I118" s="12" t="n">
        <v>2.513</v>
      </c>
    </row>
    <row r="119" customFormat="false" ht="15" hidden="false" customHeight="false" outlineLevel="0" collapsed="false">
      <c r="A119" s="16" t="s">
        <v>784</v>
      </c>
      <c r="B119" s="16" t="s">
        <v>785</v>
      </c>
      <c r="C119" s="16" t="s">
        <v>786</v>
      </c>
      <c r="D119" s="16" t="s">
        <v>326</v>
      </c>
      <c r="E119" s="23" t="n">
        <v>83858</v>
      </c>
      <c r="F119" s="23" t="n">
        <v>8847037</v>
      </c>
      <c r="G119" s="16" t="s">
        <v>787</v>
      </c>
      <c r="H119" s="16" t="n">
        <v>66</v>
      </c>
      <c r="I119" s="16" t="n">
        <v>2.462</v>
      </c>
    </row>
    <row r="120" customFormat="false" ht="15" hidden="false" customHeight="false" outlineLevel="0" collapsed="false">
      <c r="A120" s="12" t="s">
        <v>788</v>
      </c>
      <c r="B120" s="12" t="s">
        <v>789</v>
      </c>
      <c r="C120" s="12" t="s">
        <v>790</v>
      </c>
      <c r="D120" s="12" t="s">
        <v>343</v>
      </c>
      <c r="E120" s="22" t="n">
        <v>82880</v>
      </c>
      <c r="F120" s="22" t="n">
        <v>9630959</v>
      </c>
      <c r="G120" s="12" t="s">
        <v>791</v>
      </c>
      <c r="H120" s="12" t="n">
        <v>63</v>
      </c>
      <c r="I120" s="12" t="n">
        <v>2.444</v>
      </c>
    </row>
    <row r="121" customFormat="false" ht="15" hidden="false" customHeight="false" outlineLevel="0" collapsed="false">
      <c r="A121" s="16" t="s">
        <v>792</v>
      </c>
      <c r="B121" s="16" t="s">
        <v>793</v>
      </c>
      <c r="C121" s="16" t="s">
        <v>794</v>
      </c>
      <c r="D121" s="16" t="s">
        <v>326</v>
      </c>
      <c r="E121" s="23" t="n">
        <v>78866</v>
      </c>
      <c r="F121" s="23" t="n">
        <v>10625695</v>
      </c>
      <c r="G121" s="16" t="s">
        <v>795</v>
      </c>
      <c r="H121" s="16" t="n">
        <v>125</v>
      </c>
      <c r="I121" s="16" t="n">
        <v>2.367</v>
      </c>
    </row>
    <row r="122" customFormat="false" ht="15" hidden="false" customHeight="false" outlineLevel="0" collapsed="false">
      <c r="A122" s="12" t="s">
        <v>796</v>
      </c>
      <c r="B122" s="12" t="s">
        <v>797</v>
      </c>
      <c r="C122" s="12" t="s">
        <v>798</v>
      </c>
      <c r="D122" s="12" t="s">
        <v>335</v>
      </c>
      <c r="E122" s="22" t="n">
        <v>78200</v>
      </c>
      <c r="F122" s="22" t="n">
        <v>4176873</v>
      </c>
      <c r="G122" s="12" t="s">
        <v>799</v>
      </c>
      <c r="H122" s="12" t="n">
        <v>27</v>
      </c>
      <c r="I122" s="12" t="n">
        <v>2.354</v>
      </c>
    </row>
    <row r="123" customFormat="false" ht="15" hidden="false" customHeight="false" outlineLevel="0" collapsed="false">
      <c r="A123" s="16" t="s">
        <v>800</v>
      </c>
      <c r="B123" s="16" t="s">
        <v>801</v>
      </c>
      <c r="C123" s="16" t="s">
        <v>802</v>
      </c>
      <c r="D123" s="16" t="s">
        <v>370</v>
      </c>
      <c r="E123" s="23" t="n">
        <v>71740</v>
      </c>
      <c r="F123" s="23" t="n">
        <v>7650154</v>
      </c>
      <c r="G123" s="16" t="s">
        <v>803</v>
      </c>
      <c r="H123" s="16" t="n">
        <v>14</v>
      </c>
      <c r="I123" s="16" t="n">
        <v>2.225</v>
      </c>
    </row>
    <row r="124" customFormat="false" ht="15" hidden="false" customHeight="false" outlineLevel="0" collapsed="false">
      <c r="A124" s="12" t="s">
        <v>804</v>
      </c>
      <c r="B124" s="12" t="s">
        <v>805</v>
      </c>
      <c r="C124" s="12" t="s">
        <v>806</v>
      </c>
      <c r="D124" s="12" t="s">
        <v>326</v>
      </c>
      <c r="E124" s="22" t="n">
        <v>70280</v>
      </c>
      <c r="F124" s="22" t="n">
        <v>4853506</v>
      </c>
      <c r="G124" s="12" t="s">
        <v>807</v>
      </c>
      <c r="H124" s="12" t="n">
        <v>43</v>
      </c>
      <c r="I124" s="12" t="n">
        <v>2.194</v>
      </c>
    </row>
    <row r="125" customFormat="false" ht="15" hidden="false" customHeight="false" outlineLevel="0" collapsed="false">
      <c r="A125" s="16" t="s">
        <v>808</v>
      </c>
      <c r="B125" s="16" t="s">
        <v>809</v>
      </c>
      <c r="C125" s="16" t="s">
        <v>810</v>
      </c>
      <c r="D125" s="16" t="s">
        <v>343</v>
      </c>
      <c r="E125" s="23" t="n">
        <v>69700</v>
      </c>
      <c r="F125" s="23" t="n">
        <v>3704500</v>
      </c>
      <c r="G125" s="16" t="s">
        <v>811</v>
      </c>
      <c r="H125" s="16" t="n">
        <v>17</v>
      </c>
      <c r="I125" s="16" t="n">
        <v>2.182</v>
      </c>
    </row>
    <row r="126" customFormat="false" ht="15" hidden="false" customHeight="false" outlineLevel="0" collapsed="false">
      <c r="A126" s="12" t="s">
        <v>812</v>
      </c>
      <c r="B126" s="12" t="s">
        <v>813</v>
      </c>
      <c r="C126" s="12" t="s">
        <v>814</v>
      </c>
      <c r="D126" s="12" t="s">
        <v>343</v>
      </c>
      <c r="E126" s="22" t="n">
        <v>65610</v>
      </c>
      <c r="F126" s="22" t="n">
        <v>21670000</v>
      </c>
      <c r="G126" s="12" t="s">
        <v>815</v>
      </c>
      <c r="H126" s="12" t="n">
        <v>60</v>
      </c>
      <c r="I126" s="12" t="n">
        <v>2.095</v>
      </c>
    </row>
    <row r="127" customFormat="false" ht="15" hidden="false" customHeight="false" outlineLevel="0" collapsed="false">
      <c r="A127" s="16" t="s">
        <v>816</v>
      </c>
      <c r="B127" s="16" t="s">
        <v>817</v>
      </c>
      <c r="C127" s="16" t="s">
        <v>818</v>
      </c>
      <c r="D127" s="16" t="s">
        <v>326</v>
      </c>
      <c r="E127" s="23" t="n">
        <v>65200</v>
      </c>
      <c r="F127" s="23" t="n">
        <v>2789533</v>
      </c>
      <c r="G127" s="16" t="s">
        <v>819</v>
      </c>
      <c r="H127" s="16" t="n">
        <v>36</v>
      </c>
      <c r="I127" s="16" t="n">
        <v>2.087</v>
      </c>
    </row>
    <row r="128" customFormat="false" ht="15" hidden="false" customHeight="false" outlineLevel="0" collapsed="false">
      <c r="A128" s="12" t="s">
        <v>820</v>
      </c>
      <c r="B128" s="12" t="s">
        <v>821</v>
      </c>
      <c r="C128" s="12" t="s">
        <v>822</v>
      </c>
      <c r="D128" s="12" t="s">
        <v>326</v>
      </c>
      <c r="E128" s="22" t="n">
        <v>64589</v>
      </c>
      <c r="F128" s="22" t="n">
        <v>1926542</v>
      </c>
      <c r="G128" s="12" t="s">
        <v>823</v>
      </c>
      <c r="H128" s="12" t="n">
        <v>15</v>
      </c>
      <c r="I128" s="12" t="n">
        <v>2.073</v>
      </c>
    </row>
    <row r="129" customFormat="false" ht="15" hidden="false" customHeight="false" outlineLevel="0" collapsed="false">
      <c r="A129" s="16" t="s">
        <v>824</v>
      </c>
      <c r="B129" s="16" t="s">
        <v>825</v>
      </c>
      <c r="C129" s="16" t="s">
        <v>826</v>
      </c>
      <c r="D129" s="16" t="s">
        <v>326</v>
      </c>
      <c r="E129" s="23" t="n">
        <v>62049</v>
      </c>
      <c r="F129" s="23" t="n">
        <v>2550</v>
      </c>
      <c r="G129" s="16" t="s">
        <v>827</v>
      </c>
      <c r="H129" s="16" t="n">
        <v>0</v>
      </c>
      <c r="I129" s="16" t="n">
        <v>2.017</v>
      </c>
    </row>
    <row r="130" customFormat="false" ht="15" hidden="false" customHeight="false" outlineLevel="0" collapsed="false">
      <c r="A130" s="12" t="s">
        <v>828</v>
      </c>
      <c r="B130" s="12" t="s">
        <v>829</v>
      </c>
      <c r="C130" s="12" t="s">
        <v>830</v>
      </c>
      <c r="D130" s="12" t="s">
        <v>370</v>
      </c>
      <c r="E130" s="22" t="n">
        <v>56785</v>
      </c>
      <c r="F130" s="22" t="n">
        <v>7889094</v>
      </c>
      <c r="G130" s="12" t="s">
        <v>831</v>
      </c>
      <c r="H130" s="12" t="n">
        <v>20</v>
      </c>
      <c r="I130" s="12" t="n">
        <v>1.897</v>
      </c>
    </row>
    <row r="131" customFormat="false" ht="15" hidden="false" customHeight="false" outlineLevel="0" collapsed="false">
      <c r="A131" s="16" t="s">
        <v>832</v>
      </c>
      <c r="B131" s="16" t="s">
        <v>833</v>
      </c>
      <c r="C131" s="16" t="s">
        <v>834</v>
      </c>
      <c r="D131" s="16" t="s">
        <v>326</v>
      </c>
      <c r="E131" s="23" t="n">
        <v>56542</v>
      </c>
      <c r="F131" s="23" t="n">
        <v>3871833</v>
      </c>
      <c r="G131" s="16" t="s">
        <v>835</v>
      </c>
      <c r="H131" s="16" t="n">
        <v>25</v>
      </c>
      <c r="I131" s="16" t="n">
        <v>1.891</v>
      </c>
    </row>
    <row r="132" customFormat="false" ht="15" hidden="false" customHeight="false" outlineLevel="0" collapsed="false">
      <c r="A132" s="12" t="s">
        <v>836</v>
      </c>
      <c r="B132" s="12" t="s">
        <v>837</v>
      </c>
      <c r="C132" s="12" t="s">
        <v>838</v>
      </c>
      <c r="D132" s="12" t="s">
        <v>326</v>
      </c>
      <c r="E132" s="22" t="n">
        <v>51129</v>
      </c>
      <c r="F132" s="22" t="n">
        <v>3323929</v>
      </c>
      <c r="G132" s="12" t="s">
        <v>839</v>
      </c>
      <c r="H132" s="12" t="n">
        <v>23</v>
      </c>
      <c r="I132" s="12" t="n">
        <v>1.761</v>
      </c>
    </row>
    <row r="133" customFormat="false" ht="15" hidden="false" customHeight="false" outlineLevel="0" collapsed="false">
      <c r="A133" s="16" t="s">
        <v>840</v>
      </c>
      <c r="B133" s="16" t="s">
        <v>841</v>
      </c>
      <c r="C133" s="16" t="s">
        <v>842</v>
      </c>
      <c r="D133" s="16" t="s">
        <v>335</v>
      </c>
      <c r="E133" s="23" t="n">
        <v>51100</v>
      </c>
      <c r="F133" s="23" t="n">
        <v>4999441</v>
      </c>
      <c r="G133" s="16" t="s">
        <v>843</v>
      </c>
      <c r="H133" s="16" t="n">
        <v>41</v>
      </c>
      <c r="I133" s="16" t="n">
        <v>1.76</v>
      </c>
    </row>
    <row r="134" customFormat="false" ht="15" hidden="false" customHeight="false" outlineLevel="0" collapsed="false">
      <c r="A134" s="12" t="s">
        <v>844</v>
      </c>
      <c r="B134" s="12" t="s">
        <v>845</v>
      </c>
      <c r="C134" s="12" t="s">
        <v>846</v>
      </c>
      <c r="D134" s="12" t="s">
        <v>326</v>
      </c>
      <c r="E134" s="22" t="n">
        <v>48845</v>
      </c>
      <c r="F134" s="22" t="n">
        <v>5447011</v>
      </c>
      <c r="G134" s="12" t="s">
        <v>847</v>
      </c>
      <c r="H134" s="12" t="n">
        <v>61</v>
      </c>
      <c r="I134" s="12" t="n">
        <v>1.704</v>
      </c>
    </row>
    <row r="135" customFormat="false" ht="15" hidden="false" customHeight="false" outlineLevel="0" collapsed="false">
      <c r="A135" s="16" t="s">
        <v>848</v>
      </c>
      <c r="B135" s="16" t="s">
        <v>849</v>
      </c>
      <c r="C135" s="16" t="s">
        <v>850</v>
      </c>
      <c r="D135" s="16" t="s">
        <v>335</v>
      </c>
      <c r="E135" s="23" t="n">
        <v>48730</v>
      </c>
      <c r="F135" s="23" t="n">
        <v>10627165</v>
      </c>
      <c r="G135" s="16" t="s">
        <v>851</v>
      </c>
      <c r="H135" s="16" t="n">
        <v>49</v>
      </c>
      <c r="I135" s="16" t="n">
        <v>1.701</v>
      </c>
    </row>
    <row r="136" customFormat="false" ht="15" hidden="false" customHeight="false" outlineLevel="0" collapsed="false">
      <c r="A136" s="12" t="s">
        <v>852</v>
      </c>
      <c r="B136" s="12" t="s">
        <v>853</v>
      </c>
      <c r="C136" s="12" t="s">
        <v>854</v>
      </c>
      <c r="D136" s="12" t="s">
        <v>343</v>
      </c>
      <c r="E136" s="22" t="n">
        <v>47000</v>
      </c>
      <c r="F136" s="22" t="n">
        <v>754394</v>
      </c>
      <c r="G136" s="12" t="s">
        <v>855</v>
      </c>
      <c r="H136" s="12" t="n">
        <v>4</v>
      </c>
      <c r="I136" s="12" t="n">
        <v>1.657</v>
      </c>
    </row>
    <row r="137" customFormat="false" ht="15" hidden="false" customHeight="false" outlineLevel="0" collapsed="false">
      <c r="A137" s="16" t="s">
        <v>856</v>
      </c>
      <c r="B137" s="16" t="s">
        <v>857</v>
      </c>
      <c r="C137" s="16" t="s">
        <v>858</v>
      </c>
      <c r="D137" s="16" t="s">
        <v>326</v>
      </c>
      <c r="E137" s="23" t="n">
        <v>45226</v>
      </c>
      <c r="F137" s="23" t="n">
        <v>1320884</v>
      </c>
      <c r="G137" s="16" t="s">
        <v>859</v>
      </c>
      <c r="H137" s="16" t="n">
        <v>15</v>
      </c>
      <c r="I137" s="16" t="n">
        <v>1.611</v>
      </c>
    </row>
    <row r="138" customFormat="false" ht="15" hidden="false" customHeight="false" outlineLevel="0" collapsed="false">
      <c r="A138" s="12" t="s">
        <v>860</v>
      </c>
      <c r="B138" s="12" t="s">
        <v>861</v>
      </c>
      <c r="C138" s="12" t="s">
        <v>862</v>
      </c>
      <c r="D138" s="12" t="s">
        <v>326</v>
      </c>
      <c r="E138" s="22" t="n">
        <v>43094</v>
      </c>
      <c r="F138" s="22" t="n">
        <v>5797446</v>
      </c>
      <c r="G138" s="12" t="s">
        <v>863</v>
      </c>
      <c r="H138" s="12" t="n">
        <v>64</v>
      </c>
      <c r="I138" s="12" t="n">
        <v>1.554</v>
      </c>
    </row>
    <row r="139" customFormat="false" ht="15" hidden="false" customHeight="false" outlineLevel="0" collapsed="false">
      <c r="A139" s="16" t="s">
        <v>864</v>
      </c>
      <c r="B139" s="16" t="s">
        <v>865</v>
      </c>
      <c r="C139" s="16" t="s">
        <v>866</v>
      </c>
      <c r="D139" s="16" t="s">
        <v>326</v>
      </c>
      <c r="E139" s="23" t="n">
        <v>41526</v>
      </c>
      <c r="F139" s="23" t="n">
        <v>17231017</v>
      </c>
      <c r="G139" s="16" t="s">
        <v>867</v>
      </c>
      <c r="H139" s="16" t="n">
        <v>243</v>
      </c>
      <c r="I139" s="16" t="n">
        <v>1.512</v>
      </c>
    </row>
    <row r="140" customFormat="false" ht="15" hidden="false" customHeight="false" outlineLevel="0" collapsed="false">
      <c r="A140" s="12" t="s">
        <v>868</v>
      </c>
      <c r="B140" s="12" t="s">
        <v>869</v>
      </c>
      <c r="C140" s="12" t="s">
        <v>870</v>
      </c>
      <c r="D140" s="12" t="s">
        <v>326</v>
      </c>
      <c r="E140" s="22" t="n">
        <v>41290</v>
      </c>
      <c r="F140" s="22" t="n">
        <v>8516543</v>
      </c>
      <c r="G140" s="12" t="s">
        <v>871</v>
      </c>
      <c r="H140" s="12" t="n">
        <v>95</v>
      </c>
      <c r="I140" s="12" t="n">
        <v>1.505</v>
      </c>
    </row>
    <row r="141" customFormat="false" ht="15" hidden="false" customHeight="false" outlineLevel="0" collapsed="false">
      <c r="A141" s="16" t="s">
        <v>872</v>
      </c>
      <c r="B141" s="16" t="s">
        <v>873</v>
      </c>
      <c r="C141" s="16" t="s">
        <v>874</v>
      </c>
      <c r="D141" s="16" t="s">
        <v>370</v>
      </c>
      <c r="E141" s="23" t="n">
        <v>36120</v>
      </c>
      <c r="F141" s="23" t="n">
        <v>1874309</v>
      </c>
      <c r="G141" s="16" t="s">
        <v>875</v>
      </c>
      <c r="H141" s="16" t="n">
        <v>15</v>
      </c>
      <c r="I141" s="16" t="n">
        <v>1.359</v>
      </c>
    </row>
    <row r="142" customFormat="false" ht="15" hidden="false" customHeight="false" outlineLevel="0" collapsed="false">
      <c r="A142" s="12" t="s">
        <v>876</v>
      </c>
      <c r="B142" s="12" t="s">
        <v>877</v>
      </c>
      <c r="C142" s="12" t="s">
        <v>878</v>
      </c>
      <c r="D142" s="12" t="s">
        <v>343</v>
      </c>
      <c r="E142" s="22" t="n">
        <v>35980</v>
      </c>
      <c r="F142" s="22" t="n">
        <v>23451837</v>
      </c>
      <c r="G142" s="12" t="s">
        <v>879</v>
      </c>
      <c r="H142" s="12" t="n">
        <v>67</v>
      </c>
      <c r="I142" s="12" t="n">
        <v>1.355</v>
      </c>
    </row>
    <row r="143" customFormat="false" ht="15" hidden="false" customHeight="false" outlineLevel="0" collapsed="false">
      <c r="A143" s="16" t="s">
        <v>880</v>
      </c>
      <c r="B143" s="16" t="s">
        <v>881</v>
      </c>
      <c r="C143" s="16" t="s">
        <v>882</v>
      </c>
      <c r="D143" s="16" t="s">
        <v>326</v>
      </c>
      <c r="E143" s="23" t="n">
        <v>33843</v>
      </c>
      <c r="F143" s="23" t="n">
        <v>3545883</v>
      </c>
      <c r="G143" s="16" t="s">
        <v>883</v>
      </c>
      <c r="H143" s="16" t="n">
        <v>22</v>
      </c>
      <c r="I143" s="16" t="n">
        <v>1.292</v>
      </c>
    </row>
    <row r="144" customFormat="false" ht="15" hidden="false" customHeight="false" outlineLevel="0" collapsed="false">
      <c r="A144" s="12" t="s">
        <v>884</v>
      </c>
      <c r="B144" s="12" t="s">
        <v>885</v>
      </c>
      <c r="C144" s="12" t="s">
        <v>886</v>
      </c>
      <c r="D144" s="12" t="s">
        <v>326</v>
      </c>
      <c r="E144" s="22" t="n">
        <v>30510</v>
      </c>
      <c r="F144" s="22" t="n">
        <v>11422068</v>
      </c>
      <c r="G144" s="12" t="s">
        <v>887</v>
      </c>
      <c r="H144" s="12" t="n">
        <v>223</v>
      </c>
      <c r="I144" s="12" t="n">
        <v>1.191</v>
      </c>
    </row>
    <row r="145" customFormat="false" ht="15" hidden="false" customHeight="false" outlineLevel="0" collapsed="false">
      <c r="A145" s="16" t="s">
        <v>888</v>
      </c>
      <c r="B145" s="16" t="s">
        <v>889</v>
      </c>
      <c r="C145" s="16" t="s">
        <v>890</v>
      </c>
      <c r="D145" s="16" t="s">
        <v>370</v>
      </c>
      <c r="E145" s="23" t="n">
        <v>30355</v>
      </c>
      <c r="F145" s="23" t="n">
        <v>2108132</v>
      </c>
      <c r="G145" s="16" t="s">
        <v>891</v>
      </c>
      <c r="H145" s="16" t="n">
        <v>11</v>
      </c>
      <c r="I145" s="16" t="n">
        <v>1.186</v>
      </c>
    </row>
    <row r="146" customFormat="false" ht="15" hidden="false" customHeight="false" outlineLevel="0" collapsed="false">
      <c r="A146" s="12" t="s">
        <v>892</v>
      </c>
      <c r="B146" s="12" t="s">
        <v>893</v>
      </c>
      <c r="C146" s="12" t="s">
        <v>894</v>
      </c>
      <c r="D146" s="12" t="s">
        <v>343</v>
      </c>
      <c r="E146" s="22" t="n">
        <v>29800</v>
      </c>
      <c r="F146" s="22" t="n">
        <v>3090500</v>
      </c>
      <c r="G146" s="12" t="s">
        <v>895</v>
      </c>
      <c r="H146" s="12" t="n">
        <v>29</v>
      </c>
      <c r="I146" s="12" t="n">
        <v>1.169</v>
      </c>
    </row>
    <row r="147" customFormat="false" ht="15" hidden="false" customHeight="false" outlineLevel="0" collapsed="false">
      <c r="A147" s="16" t="s">
        <v>896</v>
      </c>
      <c r="B147" s="16" t="s">
        <v>897</v>
      </c>
      <c r="C147" s="16" t="s">
        <v>898</v>
      </c>
      <c r="D147" s="16" t="s">
        <v>326</v>
      </c>
      <c r="E147" s="23" t="n">
        <v>28748</v>
      </c>
      <c r="F147" s="23" t="n">
        <v>2866376</v>
      </c>
      <c r="G147" s="16" t="s">
        <v>899</v>
      </c>
      <c r="H147" s="16" t="n">
        <v>25</v>
      </c>
      <c r="I147" s="16" t="n">
        <v>1.136</v>
      </c>
    </row>
    <row r="148" customFormat="false" ht="15" hidden="false" customHeight="false" outlineLevel="0" collapsed="false">
      <c r="A148" s="12" t="s">
        <v>900</v>
      </c>
      <c r="B148" s="12" t="s">
        <v>901</v>
      </c>
      <c r="C148" s="12" t="s">
        <v>902</v>
      </c>
      <c r="D148" s="12" t="s">
        <v>353</v>
      </c>
      <c r="E148" s="22" t="n">
        <v>28450</v>
      </c>
      <c r="F148" s="22" t="n">
        <v>652858</v>
      </c>
      <c r="G148" s="12" t="s">
        <v>903</v>
      </c>
      <c r="H148" s="12" t="n">
        <v>7</v>
      </c>
      <c r="I148" s="12" t="n">
        <v>1.126</v>
      </c>
    </row>
    <row r="149" customFormat="false" ht="15" hidden="false" customHeight="false" outlineLevel="0" collapsed="false">
      <c r="A149" s="16" t="s">
        <v>904</v>
      </c>
      <c r="B149" s="16" t="s">
        <v>905</v>
      </c>
      <c r="C149" s="16" t="s">
        <v>906</v>
      </c>
      <c r="D149" s="16" t="s">
        <v>370</v>
      </c>
      <c r="E149" s="23" t="n">
        <v>28051</v>
      </c>
      <c r="F149" s="23" t="n">
        <v>1308974</v>
      </c>
      <c r="G149" s="16" t="s">
        <v>907</v>
      </c>
      <c r="H149" s="16" t="n">
        <v>3</v>
      </c>
      <c r="I149" s="16" t="n">
        <v>1.113</v>
      </c>
    </row>
    <row r="150" customFormat="false" ht="15" hidden="false" customHeight="false" outlineLevel="0" collapsed="false">
      <c r="A150" s="12" t="s">
        <v>908</v>
      </c>
      <c r="B150" s="12" t="s">
        <v>909</v>
      </c>
      <c r="C150" s="12" t="s">
        <v>910</v>
      </c>
      <c r="D150" s="12" t="s">
        <v>370</v>
      </c>
      <c r="E150" s="22" t="n">
        <v>27830</v>
      </c>
      <c r="F150" s="22" t="n">
        <v>11175378</v>
      </c>
      <c r="G150" s="12" t="s">
        <v>911</v>
      </c>
      <c r="H150" s="12" t="n">
        <v>14</v>
      </c>
      <c r="I150" s="12" t="n">
        <v>1.106</v>
      </c>
    </row>
    <row r="151" customFormat="false" ht="15" hidden="false" customHeight="false" outlineLevel="0" collapsed="false">
      <c r="A151" s="16" t="s">
        <v>912</v>
      </c>
      <c r="B151" s="16" t="s">
        <v>913</v>
      </c>
      <c r="C151" s="16" t="s">
        <v>914</v>
      </c>
      <c r="D151" s="16" t="s">
        <v>335</v>
      </c>
      <c r="E151" s="23" t="n">
        <v>27750</v>
      </c>
      <c r="F151" s="23" t="n">
        <v>11123176</v>
      </c>
      <c r="G151" s="16" t="s">
        <v>915</v>
      </c>
      <c r="H151" s="16" t="n">
        <v>31</v>
      </c>
      <c r="I151" s="16" t="n">
        <v>1.104</v>
      </c>
    </row>
    <row r="152" customFormat="false" ht="15" hidden="false" customHeight="false" outlineLevel="0" collapsed="false">
      <c r="A152" s="12" t="s">
        <v>916</v>
      </c>
      <c r="B152" s="12" t="s">
        <v>917</v>
      </c>
      <c r="C152" s="12" t="s">
        <v>918</v>
      </c>
      <c r="D152" s="12" t="s">
        <v>370</v>
      </c>
      <c r="E152" s="22" t="n">
        <v>26338</v>
      </c>
      <c r="F152" s="22" t="n">
        <v>12301939</v>
      </c>
      <c r="G152" s="12" t="s">
        <v>919</v>
      </c>
      <c r="H152" s="12" t="n">
        <v>45</v>
      </c>
      <c r="I152" s="12" t="n">
        <v>1.058</v>
      </c>
    </row>
    <row r="153" customFormat="false" ht="15" hidden="false" customHeight="false" outlineLevel="0" collapsed="false">
      <c r="A153" s="16" t="s">
        <v>920</v>
      </c>
      <c r="B153" s="16" t="s">
        <v>921</v>
      </c>
      <c r="C153" s="16" t="s">
        <v>922</v>
      </c>
      <c r="D153" s="16" t="s">
        <v>326</v>
      </c>
      <c r="E153" s="23" t="n">
        <v>25333</v>
      </c>
      <c r="F153" s="23" t="n">
        <v>2082958</v>
      </c>
      <c r="G153" s="16" t="s">
        <v>923</v>
      </c>
      <c r="H153" s="16" t="n">
        <v>38</v>
      </c>
      <c r="I153" s="16" t="n">
        <v>1.025</v>
      </c>
    </row>
    <row r="154" customFormat="false" ht="15" hidden="false" customHeight="false" outlineLevel="0" collapsed="false">
      <c r="A154" s="12" t="s">
        <v>924</v>
      </c>
      <c r="B154" s="12" t="s">
        <v>925</v>
      </c>
      <c r="C154" s="12" t="s">
        <v>926</v>
      </c>
      <c r="D154" s="12" t="s">
        <v>370</v>
      </c>
      <c r="E154" s="22" t="n">
        <v>23000</v>
      </c>
      <c r="F154" s="22" t="n">
        <v>958920</v>
      </c>
      <c r="G154" s="12" t="s">
        <v>924</v>
      </c>
      <c r="H154" s="12" t="n">
        <v>7</v>
      </c>
      <c r="I154" s="12" t="n">
        <v>0.946</v>
      </c>
    </row>
    <row r="155" customFormat="false" ht="15" hidden="false" customHeight="false" outlineLevel="0" collapsed="false">
      <c r="A155" s="16" t="s">
        <v>927</v>
      </c>
      <c r="B155" s="16" t="s">
        <v>928</v>
      </c>
      <c r="C155" s="16" t="s">
        <v>929</v>
      </c>
      <c r="D155" s="16" t="s">
        <v>335</v>
      </c>
      <c r="E155" s="23" t="n">
        <v>22966</v>
      </c>
      <c r="F155" s="23" t="n">
        <v>383071</v>
      </c>
      <c r="G155" s="16" t="s">
        <v>930</v>
      </c>
      <c r="H155" s="16" t="n">
        <v>5</v>
      </c>
      <c r="I155" s="16" t="n">
        <v>0.945</v>
      </c>
    </row>
    <row r="156" customFormat="false" ht="15" hidden="false" customHeight="false" outlineLevel="0" collapsed="false">
      <c r="A156" s="12" t="s">
        <v>931</v>
      </c>
      <c r="B156" s="12" t="s">
        <v>932</v>
      </c>
      <c r="C156" s="12" t="s">
        <v>933</v>
      </c>
      <c r="D156" s="12" t="s">
        <v>335</v>
      </c>
      <c r="E156" s="22" t="n">
        <v>21040</v>
      </c>
      <c r="F156" s="22" t="n">
        <v>6420744</v>
      </c>
      <c r="G156" s="12" t="s">
        <v>934</v>
      </c>
      <c r="H156" s="12" t="n">
        <v>35</v>
      </c>
      <c r="I156" s="12" t="n">
        <v>0.878</v>
      </c>
    </row>
    <row r="157" customFormat="false" ht="15" hidden="false" customHeight="false" outlineLevel="0" collapsed="false">
      <c r="A157" s="16" t="s">
        <v>935</v>
      </c>
      <c r="B157" s="16" t="s">
        <v>936</v>
      </c>
      <c r="C157" s="16" t="s">
        <v>937</v>
      </c>
      <c r="D157" s="16" t="s">
        <v>343</v>
      </c>
      <c r="E157" s="23" t="n">
        <v>20770</v>
      </c>
      <c r="F157" s="23" t="n">
        <v>8883800</v>
      </c>
      <c r="G157" s="16" t="s">
        <v>938</v>
      </c>
      <c r="H157" s="16" t="n">
        <v>106</v>
      </c>
      <c r="I157" s="16" t="n">
        <v>0.869</v>
      </c>
    </row>
    <row r="158" customFormat="false" ht="15" hidden="false" customHeight="false" outlineLevel="0" collapsed="false">
      <c r="A158" s="12" t="s">
        <v>939</v>
      </c>
      <c r="B158" s="12" t="s">
        <v>940</v>
      </c>
      <c r="C158" s="12" t="s">
        <v>941</v>
      </c>
      <c r="D158" s="12" t="s">
        <v>326</v>
      </c>
      <c r="E158" s="22" t="n">
        <v>20273</v>
      </c>
      <c r="F158" s="22" t="n">
        <v>2067372</v>
      </c>
      <c r="G158" s="12" t="s">
        <v>942</v>
      </c>
      <c r="H158" s="12" t="n">
        <v>9</v>
      </c>
      <c r="I158" s="12" t="n">
        <v>0.851</v>
      </c>
    </row>
    <row r="159" customFormat="false" ht="15" hidden="false" customHeight="false" outlineLevel="0" collapsed="false">
      <c r="A159" s="16" t="s">
        <v>943</v>
      </c>
      <c r="B159" s="16" t="s">
        <v>944</v>
      </c>
      <c r="C159" s="16" t="s">
        <v>945</v>
      </c>
      <c r="D159" s="16" t="s">
        <v>353</v>
      </c>
      <c r="E159" s="23" t="n">
        <v>19060</v>
      </c>
      <c r="F159" s="23" t="n">
        <v>284060</v>
      </c>
      <c r="G159" s="16" t="s">
        <v>946</v>
      </c>
      <c r="H159" s="16" t="n">
        <v>3</v>
      </c>
      <c r="I159" s="16" t="n">
        <v>0.807</v>
      </c>
    </row>
    <row r="160" customFormat="false" ht="15" hidden="false" customHeight="false" outlineLevel="0" collapsed="false">
      <c r="A160" s="12" t="s">
        <v>947</v>
      </c>
      <c r="B160" s="12" t="s">
        <v>948</v>
      </c>
      <c r="C160" s="12" t="s">
        <v>949</v>
      </c>
      <c r="D160" s="12" t="s">
        <v>353</v>
      </c>
      <c r="E160" s="22" t="n">
        <v>18270</v>
      </c>
      <c r="F160" s="22" t="n">
        <v>883483</v>
      </c>
      <c r="G160" s="12" t="s">
        <v>950</v>
      </c>
      <c r="H160" s="12" t="n">
        <v>7</v>
      </c>
      <c r="I160" s="12" t="n">
        <v>0.779</v>
      </c>
    </row>
    <row r="161" customFormat="false" ht="15" hidden="false" customHeight="false" outlineLevel="0" collapsed="false">
      <c r="A161" s="16" t="s">
        <v>951</v>
      </c>
      <c r="B161" s="16" t="s">
        <v>952</v>
      </c>
      <c r="C161" s="16" t="s">
        <v>953</v>
      </c>
      <c r="D161" s="16" t="s">
        <v>343</v>
      </c>
      <c r="E161" s="23" t="n">
        <v>17820</v>
      </c>
      <c r="F161" s="23" t="n">
        <v>4137309</v>
      </c>
      <c r="G161" s="16" t="s">
        <v>954</v>
      </c>
      <c r="H161" s="16" t="n">
        <v>18</v>
      </c>
      <c r="I161" s="16" t="n">
        <v>0.762</v>
      </c>
    </row>
    <row r="162" customFormat="false" ht="15" hidden="false" customHeight="false" outlineLevel="0" collapsed="false">
      <c r="A162" s="12" t="s">
        <v>955</v>
      </c>
      <c r="B162" s="12" t="s">
        <v>956</v>
      </c>
      <c r="C162" s="12" t="s">
        <v>957</v>
      </c>
      <c r="D162" s="12" t="s">
        <v>370</v>
      </c>
      <c r="E162" s="22" t="n">
        <v>17363</v>
      </c>
      <c r="F162" s="22" t="n">
        <v>1136191</v>
      </c>
      <c r="G162" s="12" t="s">
        <v>958</v>
      </c>
      <c r="H162" s="12" t="n">
        <v>2</v>
      </c>
      <c r="I162" s="12" t="n">
        <v>0.745</v>
      </c>
    </row>
    <row r="163" customFormat="false" ht="15" hidden="false" customHeight="false" outlineLevel="0" collapsed="false">
      <c r="A163" s="16" t="s">
        <v>959</v>
      </c>
      <c r="B163" s="16" t="s">
        <v>960</v>
      </c>
      <c r="C163" s="16" t="s">
        <v>961</v>
      </c>
      <c r="D163" s="16" t="s">
        <v>353</v>
      </c>
      <c r="E163" s="23" t="n">
        <v>15007</v>
      </c>
      <c r="F163" s="23" t="n">
        <v>1267972</v>
      </c>
      <c r="G163" s="16" t="s">
        <v>962</v>
      </c>
      <c r="H163" s="16" t="n">
        <v>10</v>
      </c>
      <c r="I163" s="16" t="n">
        <v>0.656</v>
      </c>
    </row>
    <row r="164" customFormat="false" ht="15" hidden="false" customHeight="false" outlineLevel="0" collapsed="false">
      <c r="A164" s="12" t="s">
        <v>963</v>
      </c>
      <c r="B164" s="12" t="s">
        <v>964</v>
      </c>
      <c r="C164" s="12" t="s">
        <v>965</v>
      </c>
      <c r="D164" s="12" t="s">
        <v>326</v>
      </c>
      <c r="E164" s="22" t="n">
        <v>14026</v>
      </c>
      <c r="F164" s="22" t="n">
        <v>622345</v>
      </c>
      <c r="G164" s="12" t="s">
        <v>966</v>
      </c>
      <c r="H164" s="12" t="n">
        <v>8</v>
      </c>
      <c r="I164" s="12" t="n">
        <v>0.618</v>
      </c>
    </row>
    <row r="165" customFormat="false" ht="15" hidden="false" customHeight="false" outlineLevel="0" collapsed="false">
      <c r="A165" s="16" t="s">
        <v>967</v>
      </c>
      <c r="B165" s="16" t="s">
        <v>968</v>
      </c>
      <c r="C165" s="16" t="s">
        <v>969</v>
      </c>
      <c r="D165" s="16" t="s">
        <v>335</v>
      </c>
      <c r="E165" s="23" t="n">
        <v>13940</v>
      </c>
      <c r="F165" s="23" t="n">
        <v>385640</v>
      </c>
      <c r="G165" s="16" t="s">
        <v>970</v>
      </c>
      <c r="H165" s="16" t="n">
        <v>4</v>
      </c>
      <c r="I165" s="16" t="n">
        <v>0.615</v>
      </c>
    </row>
    <row r="166" customFormat="false" ht="15" hidden="false" customHeight="false" outlineLevel="0" collapsed="false">
      <c r="A166" s="12" t="s">
        <v>971</v>
      </c>
      <c r="B166" s="12" t="s">
        <v>972</v>
      </c>
      <c r="C166" s="12" t="s">
        <v>973</v>
      </c>
      <c r="D166" s="12" t="s">
        <v>353</v>
      </c>
      <c r="E166" s="22" t="n">
        <v>12200</v>
      </c>
      <c r="F166" s="22" t="n">
        <v>292680</v>
      </c>
      <c r="G166" s="12" t="s">
        <v>974</v>
      </c>
      <c r="H166" s="12" t="n">
        <v>1</v>
      </c>
      <c r="I166" s="12" t="n">
        <v>0.546</v>
      </c>
    </row>
    <row r="167" customFormat="false" ht="15" hidden="false" customHeight="false" outlineLevel="0" collapsed="false">
      <c r="A167" s="16" t="s">
        <v>975</v>
      </c>
      <c r="B167" s="16" t="s">
        <v>976</v>
      </c>
      <c r="C167" s="16" t="s">
        <v>977</v>
      </c>
      <c r="D167" s="16" t="s">
        <v>348</v>
      </c>
      <c r="E167" s="23" t="n">
        <v>12173</v>
      </c>
      <c r="F167" s="23" t="n">
        <v>2638</v>
      </c>
      <c r="G167" s="16" t="s">
        <v>978</v>
      </c>
      <c r="H167" s="16" t="n">
        <v>0</v>
      </c>
      <c r="I167" s="16" t="n">
        <v>0.545</v>
      </c>
    </row>
    <row r="168" customFormat="false" ht="15" hidden="false" customHeight="false" outlineLevel="0" collapsed="false">
      <c r="A168" s="12" t="s">
        <v>979</v>
      </c>
      <c r="B168" s="12" t="s">
        <v>980</v>
      </c>
      <c r="C168" s="12" t="s">
        <v>981</v>
      </c>
      <c r="D168" s="12" t="s">
        <v>343</v>
      </c>
      <c r="E168" s="22" t="n">
        <v>11437</v>
      </c>
      <c r="F168" s="22" t="n">
        <v>2781677</v>
      </c>
      <c r="G168" s="12" t="s">
        <v>982</v>
      </c>
      <c r="H168" s="12" t="n">
        <v>26</v>
      </c>
      <c r="I168" s="12" t="n">
        <v>0.515</v>
      </c>
    </row>
    <row r="169" customFormat="false" ht="15" hidden="false" customHeight="false" outlineLevel="0" collapsed="false">
      <c r="A169" s="16" t="s">
        <v>983</v>
      </c>
      <c r="B169" s="16" t="s">
        <v>984</v>
      </c>
      <c r="C169" s="16" t="s">
        <v>985</v>
      </c>
      <c r="D169" s="16" t="s">
        <v>370</v>
      </c>
      <c r="E169" s="23" t="n">
        <v>11300</v>
      </c>
      <c r="F169" s="23" t="n">
        <v>2280102</v>
      </c>
      <c r="G169" s="16" t="s">
        <v>986</v>
      </c>
      <c r="H169" s="16" t="n">
        <v>33</v>
      </c>
      <c r="I169" s="16" t="n">
        <v>0.509</v>
      </c>
    </row>
    <row r="170" customFormat="false" ht="15" hidden="false" customHeight="false" outlineLevel="0" collapsed="false">
      <c r="A170" s="12" t="s">
        <v>987</v>
      </c>
      <c r="B170" s="12" t="s">
        <v>988</v>
      </c>
      <c r="C170" s="12" t="s">
        <v>989</v>
      </c>
      <c r="D170" s="12" t="s">
        <v>335</v>
      </c>
      <c r="E170" s="22" t="n">
        <v>10991</v>
      </c>
      <c r="F170" s="22" t="n">
        <v>2934855</v>
      </c>
      <c r="G170" s="12" t="s">
        <v>990</v>
      </c>
      <c r="H170" s="12" t="n">
        <v>13</v>
      </c>
      <c r="I170" s="12" t="n">
        <v>0.497</v>
      </c>
    </row>
    <row r="171" customFormat="false" ht="15" hidden="false" customHeight="false" outlineLevel="0" collapsed="false">
      <c r="A171" s="16" t="s">
        <v>991</v>
      </c>
      <c r="B171" s="16" t="s">
        <v>992</v>
      </c>
      <c r="C171" s="16" t="s">
        <v>993</v>
      </c>
      <c r="D171" s="16" t="s">
        <v>326</v>
      </c>
      <c r="E171" s="23" t="n">
        <v>10908</v>
      </c>
      <c r="F171" s="23" t="n">
        <v>1845300</v>
      </c>
      <c r="G171" s="16" t="s">
        <v>994</v>
      </c>
      <c r="H171" s="16" t="n">
        <v>21</v>
      </c>
      <c r="I171" s="16" t="n">
        <v>0.493</v>
      </c>
    </row>
    <row r="172" customFormat="false" ht="15" hidden="false" customHeight="false" outlineLevel="0" collapsed="false">
      <c r="A172" s="12" t="s">
        <v>995</v>
      </c>
      <c r="B172" s="12" t="s">
        <v>996</v>
      </c>
      <c r="C172" s="12" t="s">
        <v>997</v>
      </c>
      <c r="D172" s="12" t="s">
        <v>343</v>
      </c>
      <c r="E172" s="22" t="n">
        <v>10400</v>
      </c>
      <c r="F172" s="22" t="n">
        <v>6848925</v>
      </c>
      <c r="G172" s="12" t="s">
        <v>998</v>
      </c>
      <c r="H172" s="12" t="n">
        <v>18</v>
      </c>
      <c r="I172" s="12" t="n">
        <v>0.472</v>
      </c>
    </row>
    <row r="173" customFormat="false" ht="15" hidden="false" customHeight="false" outlineLevel="0" collapsed="false">
      <c r="A173" s="16" t="s">
        <v>999</v>
      </c>
      <c r="B173" s="16" t="s">
        <v>1000</v>
      </c>
      <c r="C173" s="16" t="s">
        <v>1001</v>
      </c>
      <c r="D173" s="16" t="s">
        <v>326</v>
      </c>
      <c r="E173" s="23" t="n">
        <v>9250</v>
      </c>
      <c r="F173" s="23" t="n">
        <v>1189265</v>
      </c>
      <c r="G173" s="16" t="s">
        <v>1002</v>
      </c>
      <c r="H173" s="16" t="n">
        <v>15</v>
      </c>
      <c r="I173" s="16" t="n">
        <v>0.424</v>
      </c>
    </row>
    <row r="174" customFormat="false" ht="15" hidden="false" customHeight="false" outlineLevel="0" collapsed="false">
      <c r="A174" s="12" t="s">
        <v>1003</v>
      </c>
      <c r="B174" s="12" t="s">
        <v>1004</v>
      </c>
      <c r="C174" s="12" t="s">
        <v>1005</v>
      </c>
      <c r="D174" s="12" t="s">
        <v>335</v>
      </c>
      <c r="E174" s="22" t="n">
        <v>9104</v>
      </c>
      <c r="F174" s="22" t="n">
        <v>3195153</v>
      </c>
      <c r="G174" s="12" t="s">
        <v>1006</v>
      </c>
      <c r="H174" s="12" t="n">
        <v>21</v>
      </c>
      <c r="I174" s="12" t="n">
        <v>0.418</v>
      </c>
    </row>
    <row r="175" customFormat="false" ht="15" hidden="false" customHeight="false" outlineLevel="0" collapsed="false">
      <c r="A175" s="16" t="s">
        <v>1007</v>
      </c>
      <c r="B175" s="16" t="s">
        <v>1008</v>
      </c>
      <c r="C175" s="16" t="s">
        <v>1009</v>
      </c>
      <c r="D175" s="16" t="s">
        <v>331</v>
      </c>
      <c r="E175" s="23" t="n">
        <v>7829</v>
      </c>
      <c r="F175" s="23" t="n">
        <v>140</v>
      </c>
      <c r="G175" s="16" t="s">
        <v>1010</v>
      </c>
      <c r="H175" s="16" t="n">
        <v>0</v>
      </c>
      <c r="I175" s="16" t="n">
        <v>0.364</v>
      </c>
    </row>
    <row r="176" customFormat="false" ht="15" hidden="false" customHeight="false" outlineLevel="0" collapsed="false">
      <c r="A176" s="12" t="s">
        <v>1011</v>
      </c>
      <c r="B176" s="12" t="s">
        <v>1012</v>
      </c>
      <c r="C176" s="12" t="s">
        <v>1013</v>
      </c>
      <c r="D176" s="12" t="s">
        <v>343</v>
      </c>
      <c r="E176" s="22" t="n">
        <v>5970</v>
      </c>
      <c r="F176" s="22" t="n">
        <v>4569087</v>
      </c>
      <c r="G176" s="12" t="s">
        <v>1014</v>
      </c>
      <c r="H176" s="12" t="n">
        <v>45</v>
      </c>
      <c r="I176" s="12" t="n">
        <v>0.282</v>
      </c>
    </row>
    <row r="177" customFormat="false" ht="15" hidden="false" customHeight="false" outlineLevel="0" collapsed="false">
      <c r="A177" s="16" t="s">
        <v>1015</v>
      </c>
      <c r="B177" s="16" t="s">
        <v>1016</v>
      </c>
      <c r="C177" s="16" t="s">
        <v>1017</v>
      </c>
      <c r="D177" s="16" t="s">
        <v>343</v>
      </c>
      <c r="E177" s="23" t="n">
        <v>5770</v>
      </c>
      <c r="F177" s="23" t="n">
        <v>428962</v>
      </c>
      <c r="G177" s="16" t="s">
        <v>1018</v>
      </c>
      <c r="H177" s="16" t="n">
        <v>8</v>
      </c>
      <c r="I177" s="16" t="n">
        <v>0.273</v>
      </c>
    </row>
    <row r="178" customFormat="false" ht="15" hidden="false" customHeight="false" outlineLevel="0" collapsed="false">
      <c r="A178" s="12" t="s">
        <v>1019</v>
      </c>
      <c r="B178" s="12" t="s">
        <v>1020</v>
      </c>
      <c r="C178" s="12" t="s">
        <v>1021</v>
      </c>
      <c r="D178" s="12" t="s">
        <v>335</v>
      </c>
      <c r="E178" s="22" t="n">
        <v>5128</v>
      </c>
      <c r="F178" s="22" t="n">
        <v>1389858</v>
      </c>
      <c r="G178" s="12" t="s">
        <v>1022</v>
      </c>
      <c r="H178" s="12" t="n">
        <v>14</v>
      </c>
      <c r="I178" s="12" t="n">
        <v>0.244</v>
      </c>
    </row>
    <row r="179" customFormat="false" ht="15" hidden="false" customHeight="false" outlineLevel="0" collapsed="false">
      <c r="A179" s="16" t="s">
        <v>1023</v>
      </c>
      <c r="B179" s="16" t="s">
        <v>1024</v>
      </c>
      <c r="C179" s="16" t="s">
        <v>1025</v>
      </c>
      <c r="D179" s="16" t="s">
        <v>353</v>
      </c>
      <c r="E179" s="23" t="n">
        <v>4167</v>
      </c>
      <c r="F179" s="23" t="n">
        <v>277679</v>
      </c>
      <c r="G179" s="16" t="s">
        <v>1026</v>
      </c>
      <c r="H179" s="16" t="n">
        <v>3</v>
      </c>
      <c r="I179" s="16" t="n">
        <v>0.2</v>
      </c>
    </row>
    <row r="180" customFormat="false" ht="15" hidden="false" customHeight="false" outlineLevel="0" collapsed="false">
      <c r="A180" s="12" t="s">
        <v>1027</v>
      </c>
      <c r="B180" s="12" t="s">
        <v>1028</v>
      </c>
      <c r="C180" s="12" t="s">
        <v>1029</v>
      </c>
      <c r="D180" s="12" t="s">
        <v>370</v>
      </c>
      <c r="E180" s="22" t="n">
        <v>4033</v>
      </c>
      <c r="F180" s="22" t="n">
        <v>543767</v>
      </c>
      <c r="G180" s="12" t="s">
        <v>1030</v>
      </c>
      <c r="H180" s="12" t="n">
        <v>4</v>
      </c>
      <c r="I180" s="12" t="n">
        <v>0.194</v>
      </c>
    </row>
    <row r="181" customFormat="false" ht="15" hidden="false" customHeight="false" outlineLevel="0" collapsed="false">
      <c r="A181" s="16" t="s">
        <v>1031</v>
      </c>
      <c r="B181" s="16" t="s">
        <v>1032</v>
      </c>
      <c r="C181" s="16" t="s">
        <v>1033</v>
      </c>
      <c r="D181" s="16" t="s">
        <v>331</v>
      </c>
      <c r="E181" s="23" t="n">
        <v>3903</v>
      </c>
      <c r="F181" s="23" t="n">
        <v>30</v>
      </c>
      <c r="G181" s="16" t="s">
        <v>1034</v>
      </c>
      <c r="H181" s="16" t="n">
        <v>0</v>
      </c>
      <c r="I181" s="16" t="n">
        <v>0.188</v>
      </c>
    </row>
    <row r="182" customFormat="false" ht="15" hidden="false" customHeight="false" outlineLevel="0" collapsed="false">
      <c r="A182" s="12" t="s">
        <v>1035</v>
      </c>
      <c r="B182" s="12" t="s">
        <v>1036</v>
      </c>
      <c r="C182" s="12" t="s">
        <v>1037</v>
      </c>
      <c r="D182" s="12" t="s">
        <v>353</v>
      </c>
      <c r="E182" s="22" t="n">
        <v>2944</v>
      </c>
      <c r="F182" s="22" t="n">
        <v>196130</v>
      </c>
      <c r="G182" s="12" t="s">
        <v>1038</v>
      </c>
      <c r="H182" s="12" t="n">
        <v>1</v>
      </c>
      <c r="I182" s="12" t="n">
        <v>0.143</v>
      </c>
    </row>
    <row r="183" customFormat="false" ht="15" hidden="false" customHeight="false" outlineLevel="0" collapsed="false">
      <c r="A183" s="16" t="s">
        <v>1039</v>
      </c>
      <c r="B183" s="16" t="s">
        <v>1040</v>
      </c>
      <c r="C183" s="16" t="s">
        <v>1041</v>
      </c>
      <c r="D183" s="16" t="s">
        <v>326</v>
      </c>
      <c r="E183" s="23" t="n">
        <v>2586</v>
      </c>
      <c r="F183" s="23" t="n">
        <v>607728</v>
      </c>
      <c r="G183" s="16" t="s">
        <v>1039</v>
      </c>
      <c r="H183" s="16" t="n">
        <v>3</v>
      </c>
      <c r="I183" s="16" t="n">
        <v>0.126</v>
      </c>
    </row>
    <row r="184" customFormat="false" ht="15" hidden="false" customHeight="false" outlineLevel="0" collapsed="false">
      <c r="A184" s="12" t="s">
        <v>1042</v>
      </c>
      <c r="B184" s="12" t="s">
        <v>1043</v>
      </c>
      <c r="C184" s="12" t="s">
        <v>1044</v>
      </c>
      <c r="D184" s="12" t="s">
        <v>370</v>
      </c>
      <c r="E184" s="22" t="n">
        <v>2517</v>
      </c>
      <c r="F184" s="22" t="n">
        <v>776948</v>
      </c>
      <c r="G184" s="12" t="s">
        <v>1045</v>
      </c>
      <c r="H184" s="12" t="n">
        <v>14</v>
      </c>
      <c r="I184" s="12" t="n">
        <v>0.123</v>
      </c>
    </row>
    <row r="185" customFormat="false" ht="15" hidden="false" customHeight="false" outlineLevel="0" collapsed="false">
      <c r="A185" s="16" t="s">
        <v>1046</v>
      </c>
      <c r="B185" s="16" t="s">
        <v>1047</v>
      </c>
      <c r="C185" s="16" t="s">
        <v>1048</v>
      </c>
      <c r="D185" s="16" t="s">
        <v>370</v>
      </c>
      <c r="E185" s="23" t="n">
        <v>2170</v>
      </c>
      <c r="F185" s="23" t="n">
        <v>832322</v>
      </c>
      <c r="G185" s="16" t="s">
        <v>1049</v>
      </c>
      <c r="H185" s="16" t="n">
        <v>3</v>
      </c>
      <c r="I185" s="16" t="n">
        <v>0.106</v>
      </c>
    </row>
    <row r="186" customFormat="false" ht="15" hidden="false" customHeight="false" outlineLevel="0" collapsed="false">
      <c r="A186" s="12" t="s">
        <v>1050</v>
      </c>
      <c r="B186" s="12" t="s">
        <v>1051</v>
      </c>
      <c r="C186" s="12" t="s">
        <v>1052</v>
      </c>
      <c r="D186" s="12" t="s">
        <v>370</v>
      </c>
      <c r="E186" s="22" t="n">
        <v>2040</v>
      </c>
      <c r="F186" s="22" t="n">
        <v>1265303</v>
      </c>
      <c r="G186" s="12" t="s">
        <v>1053</v>
      </c>
      <c r="H186" s="12" t="n">
        <v>14</v>
      </c>
      <c r="I186" s="12" t="n">
        <v>0.1</v>
      </c>
    </row>
    <row r="187" customFormat="false" ht="15" hidden="false" customHeight="false" outlineLevel="0" collapsed="false">
      <c r="A187" s="16" t="s">
        <v>1054</v>
      </c>
      <c r="B187" s="16" t="s">
        <v>1055</v>
      </c>
      <c r="C187" s="16" t="s">
        <v>1056</v>
      </c>
      <c r="D187" s="16" t="s">
        <v>335</v>
      </c>
      <c r="E187" s="23" t="n">
        <v>1780</v>
      </c>
      <c r="F187" s="23" t="n">
        <v>443000</v>
      </c>
      <c r="G187" s="16" t="s">
        <v>1057</v>
      </c>
      <c r="H187" s="16" t="n">
        <v>10</v>
      </c>
      <c r="I187" s="16" t="n">
        <v>0.087</v>
      </c>
    </row>
    <row r="188" customFormat="false" ht="15" hidden="false" customHeight="false" outlineLevel="0" collapsed="false">
      <c r="A188" s="12" t="s">
        <v>1058</v>
      </c>
      <c r="B188" s="12" t="s">
        <v>1059</v>
      </c>
      <c r="C188" s="12" t="s">
        <v>1060</v>
      </c>
      <c r="D188" s="12" t="s">
        <v>326</v>
      </c>
      <c r="E188" s="22" t="n">
        <v>1580</v>
      </c>
      <c r="F188" s="22" t="n">
        <v>26711</v>
      </c>
      <c r="G188" s="12" t="s">
        <v>1061</v>
      </c>
      <c r="H188" s="12" t="n">
        <v>1</v>
      </c>
      <c r="I188" s="12" t="n">
        <v>0.078</v>
      </c>
    </row>
    <row r="189" customFormat="false" ht="15" hidden="false" customHeight="false" outlineLevel="0" collapsed="false">
      <c r="A189" s="16" t="s">
        <v>1062</v>
      </c>
      <c r="B189" s="16" t="s">
        <v>1063</v>
      </c>
      <c r="C189" s="16" t="s">
        <v>1064</v>
      </c>
      <c r="D189" s="16" t="s">
        <v>326</v>
      </c>
      <c r="E189" s="23" t="n">
        <v>1399</v>
      </c>
      <c r="F189" s="23" t="n">
        <v>48497</v>
      </c>
      <c r="G189" s="16" t="s">
        <v>1065</v>
      </c>
      <c r="H189" s="16" t="n">
        <v>1</v>
      </c>
      <c r="I189" s="16" t="n">
        <v>0.069</v>
      </c>
    </row>
    <row r="190" customFormat="false" ht="15" hidden="false" customHeight="false" outlineLevel="0" collapsed="false">
      <c r="A190" s="12" t="s">
        <v>1066</v>
      </c>
      <c r="B190" s="12" t="s">
        <v>1067</v>
      </c>
      <c r="C190" s="12" t="s">
        <v>1068</v>
      </c>
      <c r="D190" s="12" t="s">
        <v>335</v>
      </c>
      <c r="E190" s="22" t="n">
        <v>1100</v>
      </c>
      <c r="F190" s="22" t="n">
        <v>432900</v>
      </c>
      <c r="G190" s="12" t="s">
        <v>1069</v>
      </c>
      <c r="H190" s="12" t="n">
        <v>8</v>
      </c>
      <c r="I190" s="12" t="n">
        <v>0.054</v>
      </c>
    </row>
    <row r="191" customFormat="false" ht="15" hidden="false" customHeight="false" outlineLevel="0" collapsed="false">
      <c r="A191" s="16" t="s">
        <v>1070</v>
      </c>
      <c r="B191" s="16" t="s">
        <v>1071</v>
      </c>
      <c r="C191" s="16" t="s">
        <v>1072</v>
      </c>
      <c r="D191" s="16" t="s">
        <v>343</v>
      </c>
      <c r="E191" s="23" t="n">
        <v>1092</v>
      </c>
      <c r="F191" s="23" t="n">
        <v>7396076</v>
      </c>
      <c r="G191" s="16" t="s">
        <v>1070</v>
      </c>
      <c r="H191" s="16" t="n">
        <v>141</v>
      </c>
      <c r="I191" s="16" t="n">
        <v>0.054</v>
      </c>
    </row>
    <row r="192" customFormat="false" ht="15" hidden="false" customHeight="false" outlineLevel="0" collapsed="false">
      <c r="A192" s="12" t="s">
        <v>1073</v>
      </c>
      <c r="B192" s="12" t="s">
        <v>1074</v>
      </c>
      <c r="C192" s="12" t="s">
        <v>1075</v>
      </c>
      <c r="D192" s="12" t="s">
        <v>370</v>
      </c>
      <c r="E192" s="22" t="n">
        <v>1001</v>
      </c>
      <c r="F192" s="22" t="n">
        <v>197700</v>
      </c>
      <c r="G192" s="12" t="s">
        <v>1076</v>
      </c>
      <c r="H192" s="12" t="n">
        <v>1</v>
      </c>
      <c r="I192" s="12" t="n">
        <v>0.05</v>
      </c>
    </row>
    <row r="193" customFormat="false" ht="15" hidden="false" customHeight="false" outlineLevel="0" collapsed="false">
      <c r="A193" s="16" t="s">
        <v>1077</v>
      </c>
      <c r="B193" s="16" t="s">
        <v>331</v>
      </c>
      <c r="C193" s="16" t="s">
        <v>1078</v>
      </c>
      <c r="D193" s="16" t="s">
        <v>335</v>
      </c>
      <c r="E193" s="23" t="n">
        <v>960</v>
      </c>
      <c r="F193" s="23" t="n">
        <v>300000</v>
      </c>
      <c r="G193" s="16" t="s">
        <v>1079</v>
      </c>
      <c r="H193" s="16" t="n">
        <v>0</v>
      </c>
      <c r="I193" s="16" t="n">
        <v>0.048</v>
      </c>
    </row>
    <row r="194" customFormat="false" ht="15" hidden="false" customHeight="false" outlineLevel="0" collapsed="false">
      <c r="A194" s="12" t="s">
        <v>1080</v>
      </c>
      <c r="B194" s="12" t="s">
        <v>1081</v>
      </c>
      <c r="C194" s="12" t="s">
        <v>1082</v>
      </c>
      <c r="D194" s="12" t="s">
        <v>353</v>
      </c>
      <c r="E194" s="22" t="n">
        <v>811</v>
      </c>
      <c r="F194" s="22" t="n">
        <v>115847</v>
      </c>
      <c r="G194" s="12" t="s">
        <v>1083</v>
      </c>
      <c r="H194" s="12" t="n">
        <v>1</v>
      </c>
      <c r="I194" s="12" t="n">
        <v>0.04</v>
      </c>
    </row>
    <row r="195" customFormat="false" ht="15" hidden="false" customHeight="false" outlineLevel="0" collapsed="false">
      <c r="A195" s="16" t="s">
        <v>1084</v>
      </c>
      <c r="B195" s="16" t="s">
        <v>1085</v>
      </c>
      <c r="C195" s="16" t="s">
        <v>1086</v>
      </c>
      <c r="D195" s="16" t="s">
        <v>335</v>
      </c>
      <c r="E195" s="23" t="n">
        <v>754</v>
      </c>
      <c r="F195" s="23" t="n">
        <v>71625</v>
      </c>
      <c r="G195" s="16" t="s">
        <v>1087</v>
      </c>
      <c r="H195" s="16" t="n">
        <v>1</v>
      </c>
      <c r="I195" s="16" t="n">
        <v>0.037</v>
      </c>
    </row>
    <row r="196" customFormat="false" ht="15" hidden="false" customHeight="false" outlineLevel="0" collapsed="false">
      <c r="A196" s="12" t="s">
        <v>1088</v>
      </c>
      <c r="B196" s="12" t="s">
        <v>1089</v>
      </c>
      <c r="C196" s="12" t="s">
        <v>1090</v>
      </c>
      <c r="D196" s="12" t="s">
        <v>353</v>
      </c>
      <c r="E196" s="22" t="n">
        <v>748</v>
      </c>
      <c r="F196" s="22" t="n">
        <v>103197</v>
      </c>
      <c r="G196" s="12" t="s">
        <v>1091</v>
      </c>
      <c r="H196" s="12" t="n">
        <v>1</v>
      </c>
      <c r="I196" s="12" t="n">
        <v>0.037</v>
      </c>
    </row>
    <row r="197" customFormat="false" ht="15" hidden="false" customHeight="false" outlineLevel="0" collapsed="false">
      <c r="A197" s="16" t="s">
        <v>1092</v>
      </c>
      <c r="B197" s="16" t="s">
        <v>1093</v>
      </c>
      <c r="C197" s="16" t="s">
        <v>1094</v>
      </c>
      <c r="D197" s="16" t="s">
        <v>353</v>
      </c>
      <c r="E197" s="23" t="n">
        <v>702</v>
      </c>
      <c r="F197" s="23" t="n">
        <v>112640</v>
      </c>
      <c r="G197" s="16" t="s">
        <v>1095</v>
      </c>
      <c r="H197" s="16" t="n">
        <v>1</v>
      </c>
      <c r="I197" s="16" t="n">
        <v>0.035</v>
      </c>
    </row>
    <row r="198" customFormat="false" ht="15" hidden="false" customHeight="false" outlineLevel="0" collapsed="false">
      <c r="A198" s="12" t="s">
        <v>1096</v>
      </c>
      <c r="B198" s="12" t="s">
        <v>1097</v>
      </c>
      <c r="C198" s="12" t="s">
        <v>1098</v>
      </c>
      <c r="D198" s="12" t="s">
        <v>343</v>
      </c>
      <c r="E198" s="22" t="n">
        <v>692</v>
      </c>
      <c r="F198" s="22" t="n">
        <v>5638676</v>
      </c>
      <c r="G198" s="12" t="s">
        <v>1096</v>
      </c>
      <c r="H198" s="12" t="n">
        <v>65</v>
      </c>
      <c r="I198" s="12" t="n">
        <v>0.034</v>
      </c>
    </row>
    <row r="199" customFormat="false" ht="15" hidden="false" customHeight="false" outlineLevel="0" collapsed="false">
      <c r="A199" s="16" t="s">
        <v>1099</v>
      </c>
      <c r="B199" s="16" t="s">
        <v>1100</v>
      </c>
      <c r="C199" s="16" t="s">
        <v>1101</v>
      </c>
      <c r="D199" s="16" t="s">
        <v>343</v>
      </c>
      <c r="E199" s="23" t="n">
        <v>665</v>
      </c>
      <c r="F199" s="23" t="n">
        <v>1569439</v>
      </c>
      <c r="G199" s="16" t="s">
        <v>1102</v>
      </c>
      <c r="H199" s="16" t="n">
        <v>8</v>
      </c>
      <c r="I199" s="16" t="n">
        <v>0.033</v>
      </c>
    </row>
    <row r="200" customFormat="false" ht="15" hidden="false" customHeight="false" outlineLevel="0" collapsed="false">
      <c r="A200" s="12" t="s">
        <v>1103</v>
      </c>
      <c r="B200" s="12" t="s">
        <v>1104</v>
      </c>
      <c r="C200" s="12" t="s">
        <v>1105</v>
      </c>
      <c r="D200" s="12" t="s">
        <v>335</v>
      </c>
      <c r="E200" s="22" t="n">
        <v>616</v>
      </c>
      <c r="F200" s="22" t="n">
        <v>181889</v>
      </c>
      <c r="G200" s="12" t="s">
        <v>1106</v>
      </c>
      <c r="H200" s="12" t="n">
        <v>2</v>
      </c>
      <c r="I200" s="12" t="n">
        <v>0.031</v>
      </c>
    </row>
    <row r="201" customFormat="false" ht="15" hidden="false" customHeight="false" outlineLevel="0" collapsed="false">
      <c r="A201" s="16" t="s">
        <v>1107</v>
      </c>
      <c r="B201" s="16" t="s">
        <v>1108</v>
      </c>
      <c r="C201" s="16" t="s">
        <v>1109</v>
      </c>
      <c r="D201" s="16" t="s">
        <v>326</v>
      </c>
      <c r="E201" s="23" t="n">
        <v>572</v>
      </c>
      <c r="F201" s="23" t="n">
        <v>84077</v>
      </c>
      <c r="G201" s="16" t="s">
        <v>1110</v>
      </c>
      <c r="H201" s="16" t="n">
        <v>1</v>
      </c>
      <c r="I201" s="16" t="n">
        <v>0.028</v>
      </c>
    </row>
    <row r="202" customFormat="false" ht="15" hidden="false" customHeight="false" outlineLevel="0" collapsed="false">
      <c r="A202" s="12" t="s">
        <v>1111</v>
      </c>
      <c r="B202" s="12" t="s">
        <v>1112</v>
      </c>
      <c r="C202" s="12" t="s">
        <v>1113</v>
      </c>
      <c r="D202" s="12" t="s">
        <v>353</v>
      </c>
      <c r="E202" s="22" t="n">
        <v>549</v>
      </c>
      <c r="F202" s="22" t="n">
        <v>165768</v>
      </c>
      <c r="G202" s="12" t="s">
        <v>1114</v>
      </c>
      <c r="H202" s="12" t="n">
        <v>5</v>
      </c>
      <c r="I202" s="12" t="n">
        <v>0.027</v>
      </c>
    </row>
    <row r="203" customFormat="false" ht="15" hidden="false" customHeight="false" outlineLevel="0" collapsed="false">
      <c r="A203" s="16" t="s">
        <v>1115</v>
      </c>
      <c r="B203" s="16" t="s">
        <v>1116</v>
      </c>
      <c r="C203" s="16" t="s">
        <v>1117</v>
      </c>
      <c r="D203" s="16" t="s">
        <v>353</v>
      </c>
      <c r="E203" s="23" t="n">
        <v>477</v>
      </c>
      <c r="F203" s="23" t="n">
        <v>56882</v>
      </c>
      <c r="G203" s="16" t="s">
        <v>1118</v>
      </c>
      <c r="H203" s="16" t="n">
        <v>1</v>
      </c>
      <c r="I203" s="16" t="n">
        <v>0.024</v>
      </c>
    </row>
    <row r="204" customFormat="false" ht="15" hidden="false" customHeight="false" outlineLevel="0" collapsed="false">
      <c r="A204" s="12" t="s">
        <v>1119</v>
      </c>
      <c r="B204" s="12" t="s">
        <v>1120</v>
      </c>
      <c r="C204" s="12" t="s">
        <v>1121</v>
      </c>
      <c r="D204" s="12" t="s">
        <v>326</v>
      </c>
      <c r="E204" s="22" t="n">
        <v>468</v>
      </c>
      <c r="F204" s="22" t="n">
        <v>77006</v>
      </c>
      <c r="G204" s="12" t="s">
        <v>1122</v>
      </c>
      <c r="H204" s="12" t="n">
        <v>2</v>
      </c>
      <c r="I204" s="12" t="n">
        <v>0.023</v>
      </c>
    </row>
    <row r="205" customFormat="false" ht="15" hidden="false" customHeight="false" outlineLevel="0" collapsed="false">
      <c r="A205" s="16" t="s">
        <v>1123</v>
      </c>
      <c r="B205" s="16" t="s">
        <v>1124</v>
      </c>
      <c r="C205" s="16" t="s">
        <v>1125</v>
      </c>
      <c r="D205" s="16" t="s">
        <v>353</v>
      </c>
      <c r="E205" s="23" t="n">
        <v>458</v>
      </c>
      <c r="F205" s="23" t="n">
        <v>17907</v>
      </c>
      <c r="G205" s="16" t="s">
        <v>1126</v>
      </c>
      <c r="H205" s="16" t="n">
        <v>0</v>
      </c>
      <c r="I205" s="16" t="n">
        <v>0.023</v>
      </c>
    </row>
    <row r="206" customFormat="false" ht="15" hidden="false" customHeight="false" outlineLevel="0" collapsed="false">
      <c r="A206" s="12" t="s">
        <v>1127</v>
      </c>
      <c r="B206" s="12" t="s">
        <v>1128</v>
      </c>
      <c r="C206" s="12" t="s">
        <v>1129</v>
      </c>
      <c r="D206" s="12" t="s">
        <v>370</v>
      </c>
      <c r="E206" s="22" t="n">
        <v>455</v>
      </c>
      <c r="F206" s="22" t="n">
        <v>96762</v>
      </c>
      <c r="G206" s="12" t="s">
        <v>1130</v>
      </c>
      <c r="H206" s="12" t="n">
        <v>1</v>
      </c>
      <c r="I206" s="12" t="n">
        <v>0.023</v>
      </c>
    </row>
    <row r="207" customFormat="false" ht="15" hidden="false" customHeight="false" outlineLevel="0" collapsed="false">
      <c r="A207" s="16" t="s">
        <v>1131</v>
      </c>
      <c r="B207" s="16" t="s">
        <v>1132</v>
      </c>
      <c r="C207" s="16" t="s">
        <v>1133</v>
      </c>
      <c r="D207" s="16" t="s">
        <v>335</v>
      </c>
      <c r="E207" s="23" t="n">
        <v>444</v>
      </c>
      <c r="F207" s="23" t="n">
        <v>159849</v>
      </c>
      <c r="G207" s="16" t="s">
        <v>1134</v>
      </c>
      <c r="H207" s="16" t="n">
        <v>2</v>
      </c>
      <c r="I207" s="16" t="n">
        <v>0.022</v>
      </c>
    </row>
    <row r="208" customFormat="false" ht="15" hidden="false" customHeight="false" outlineLevel="0" collapsed="false">
      <c r="A208" s="12" t="s">
        <v>1135</v>
      </c>
      <c r="B208" s="12" t="s">
        <v>1136</v>
      </c>
      <c r="C208" s="12" t="s">
        <v>1137</v>
      </c>
      <c r="D208" s="12" t="s">
        <v>335</v>
      </c>
      <c r="E208" s="22" t="n">
        <v>443</v>
      </c>
      <c r="F208" s="22" t="n">
        <v>96286</v>
      </c>
      <c r="G208" s="12" t="s">
        <v>1138</v>
      </c>
      <c r="H208" s="12" t="n">
        <v>1</v>
      </c>
      <c r="I208" s="12" t="n">
        <v>0.022</v>
      </c>
    </row>
    <row r="209" customFormat="false" ht="15" hidden="false" customHeight="false" outlineLevel="0" collapsed="false">
      <c r="A209" s="16" t="s">
        <v>1139</v>
      </c>
      <c r="B209" s="16" t="s">
        <v>1140</v>
      </c>
      <c r="C209" s="16" t="s">
        <v>1141</v>
      </c>
      <c r="D209" s="16" t="s">
        <v>335</v>
      </c>
      <c r="E209" s="23" t="n">
        <v>431</v>
      </c>
      <c r="F209" s="23" t="n">
        <v>286641</v>
      </c>
      <c r="G209" s="16" t="s">
        <v>1142</v>
      </c>
      <c r="H209" s="16" t="n">
        <v>1</v>
      </c>
      <c r="I209" s="16" t="n">
        <v>0.021</v>
      </c>
    </row>
    <row r="210" customFormat="false" ht="15" hidden="false" customHeight="false" outlineLevel="0" collapsed="false">
      <c r="A210" s="12" t="s">
        <v>1143</v>
      </c>
      <c r="B210" s="12" t="s">
        <v>1144</v>
      </c>
      <c r="C210" s="12" t="s">
        <v>1145</v>
      </c>
      <c r="D210" s="12" t="s">
        <v>335</v>
      </c>
      <c r="E210" s="22" t="n">
        <v>430</v>
      </c>
      <c r="F210" s="22" t="n">
        <v>37665</v>
      </c>
      <c r="G210" s="12" t="s">
        <v>1146</v>
      </c>
      <c r="H210" s="12" t="n">
        <v>1</v>
      </c>
      <c r="I210" s="12" t="n">
        <v>0.021</v>
      </c>
    </row>
    <row r="211" customFormat="false" ht="15" hidden="false" customHeight="false" outlineLevel="0" collapsed="false">
      <c r="A211" s="16" t="s">
        <v>1147</v>
      </c>
      <c r="B211" s="16" t="s">
        <v>1148</v>
      </c>
      <c r="C211" s="16" t="s">
        <v>1149</v>
      </c>
      <c r="D211" s="16" t="s">
        <v>331</v>
      </c>
      <c r="E211" s="23" t="n">
        <v>412</v>
      </c>
      <c r="F211" s="23" t="n">
        <v>0</v>
      </c>
      <c r="G211" s="16"/>
      <c r="H211" s="16" t="n">
        <v>0</v>
      </c>
      <c r="I211" s="16" t="n">
        <v>0.021</v>
      </c>
    </row>
    <row r="212" customFormat="false" ht="15" hidden="false" customHeight="false" outlineLevel="0" collapsed="false">
      <c r="A212" s="12" t="s">
        <v>1150</v>
      </c>
      <c r="B212" s="12" t="s">
        <v>1151</v>
      </c>
      <c r="C212" s="12" t="s">
        <v>1152</v>
      </c>
      <c r="D212" s="12" t="s">
        <v>370</v>
      </c>
      <c r="E212" s="22" t="n">
        <v>410</v>
      </c>
      <c r="F212" s="22" t="n">
        <v>7460</v>
      </c>
      <c r="G212" s="12" t="s">
        <v>1153</v>
      </c>
      <c r="H212" s="12" t="n">
        <v>0</v>
      </c>
      <c r="I212" s="12" t="n">
        <v>0.02</v>
      </c>
    </row>
    <row r="213" customFormat="false" ht="15" hidden="false" customHeight="false" outlineLevel="0" collapsed="false">
      <c r="A213" s="16" t="s">
        <v>1154</v>
      </c>
      <c r="B213" s="16" t="s">
        <v>1155</v>
      </c>
      <c r="C213" s="16" t="s">
        <v>1156</v>
      </c>
      <c r="D213" s="16" t="s">
        <v>335</v>
      </c>
      <c r="E213" s="23" t="n">
        <v>389</v>
      </c>
      <c r="F213" s="23" t="n">
        <v>110211</v>
      </c>
      <c r="G213" s="16" t="s">
        <v>1157</v>
      </c>
      <c r="H213" s="16" t="n">
        <v>2</v>
      </c>
      <c r="I213" s="16" t="n">
        <v>0.019</v>
      </c>
    </row>
    <row r="214" customFormat="false" ht="15" hidden="false" customHeight="false" outlineLevel="0" collapsed="false">
      <c r="A214" s="12" t="s">
        <v>1158</v>
      </c>
      <c r="B214" s="12" t="s">
        <v>1159</v>
      </c>
      <c r="C214" s="12" t="s">
        <v>1160</v>
      </c>
      <c r="D214" s="12" t="s">
        <v>370</v>
      </c>
      <c r="E214" s="22" t="n">
        <v>374</v>
      </c>
      <c r="F214" s="22" t="n">
        <v>279471</v>
      </c>
      <c r="G214" s="12" t="s">
        <v>1161</v>
      </c>
      <c r="H214" s="12" t="n">
        <v>6</v>
      </c>
      <c r="I214" s="12" t="n">
        <v>0.019</v>
      </c>
    </row>
    <row r="215" customFormat="false" ht="15" hidden="false" customHeight="false" outlineLevel="0" collapsed="false">
      <c r="A215" s="16" t="s">
        <v>1162</v>
      </c>
      <c r="B215" s="16" t="s">
        <v>1163</v>
      </c>
      <c r="C215" s="16" t="s">
        <v>1164</v>
      </c>
      <c r="D215" s="16" t="s">
        <v>335</v>
      </c>
      <c r="E215" s="23" t="n">
        <v>352</v>
      </c>
      <c r="F215" s="23" t="n">
        <v>106977</v>
      </c>
      <c r="G215" s="16" t="s">
        <v>1165</v>
      </c>
      <c r="H215" s="16" t="n">
        <v>2</v>
      </c>
      <c r="I215" s="16" t="n">
        <v>0.018</v>
      </c>
    </row>
    <row r="216" customFormat="false" ht="15" hidden="false" customHeight="false" outlineLevel="0" collapsed="false">
      <c r="A216" s="12" t="s">
        <v>1166</v>
      </c>
      <c r="B216" s="12" t="s">
        <v>1167</v>
      </c>
      <c r="C216" s="12" t="s">
        <v>1168</v>
      </c>
      <c r="D216" s="12" t="s">
        <v>335</v>
      </c>
      <c r="E216" s="22" t="n">
        <v>344</v>
      </c>
      <c r="F216" s="22" t="n">
        <v>111454</v>
      </c>
      <c r="G216" s="12" t="s">
        <v>1169</v>
      </c>
      <c r="H216" s="12" t="n">
        <v>1</v>
      </c>
      <c r="I216" s="12" t="n">
        <v>0.017</v>
      </c>
    </row>
    <row r="217" customFormat="false" ht="15" hidden="false" customHeight="false" outlineLevel="0" collapsed="false">
      <c r="A217" s="16" t="s">
        <v>1170</v>
      </c>
      <c r="B217" s="16" t="s">
        <v>1171</v>
      </c>
      <c r="C217" s="16" t="s">
        <v>1172</v>
      </c>
      <c r="D217" s="16" t="s">
        <v>335</v>
      </c>
      <c r="E217" s="23" t="n">
        <v>328</v>
      </c>
      <c r="F217" s="23" t="n">
        <v>18012</v>
      </c>
      <c r="G217" s="16"/>
      <c r="H217" s="16" t="n">
        <v>1</v>
      </c>
      <c r="I217" s="16" t="n">
        <v>0.016</v>
      </c>
    </row>
    <row r="218" customFormat="false" ht="15" hidden="false" customHeight="false" outlineLevel="0" collapsed="false">
      <c r="A218" s="12" t="s">
        <v>1173</v>
      </c>
      <c r="B218" s="12" t="s">
        <v>1174</v>
      </c>
      <c r="C218" s="12" t="s">
        <v>1175</v>
      </c>
      <c r="D218" s="12" t="s">
        <v>326</v>
      </c>
      <c r="E218" s="22" t="n">
        <v>316</v>
      </c>
      <c r="F218" s="22" t="n">
        <v>483530</v>
      </c>
      <c r="G218" s="12" t="s">
        <v>1176</v>
      </c>
      <c r="H218" s="12" t="n">
        <v>7</v>
      </c>
      <c r="I218" s="12" t="n">
        <v>0.016</v>
      </c>
    </row>
    <row r="219" customFormat="false" ht="15" hidden="false" customHeight="false" outlineLevel="0" collapsed="false">
      <c r="A219" s="16" t="s">
        <v>1177</v>
      </c>
      <c r="B219" s="16" t="s">
        <v>1178</v>
      </c>
      <c r="C219" s="16" t="s">
        <v>1179</v>
      </c>
      <c r="D219" s="16" t="s">
        <v>343</v>
      </c>
      <c r="E219" s="23" t="n">
        <v>300</v>
      </c>
      <c r="F219" s="23" t="n">
        <v>515696</v>
      </c>
      <c r="G219" s="16" t="s">
        <v>1180</v>
      </c>
      <c r="H219" s="16" t="n">
        <v>1</v>
      </c>
      <c r="I219" s="16" t="n">
        <v>0.015</v>
      </c>
    </row>
    <row r="220" customFormat="false" ht="15" hidden="false" customHeight="false" outlineLevel="0" collapsed="false">
      <c r="A220" s="12" t="s">
        <v>1181</v>
      </c>
      <c r="B220" s="12" t="s">
        <v>1182</v>
      </c>
      <c r="C220" s="12" t="s">
        <v>1183</v>
      </c>
      <c r="D220" s="12" t="s">
        <v>353</v>
      </c>
      <c r="E220" s="22" t="n">
        <v>274</v>
      </c>
      <c r="F220" s="22" t="n">
        <v>16025</v>
      </c>
      <c r="G220" s="12" t="s">
        <v>1184</v>
      </c>
      <c r="H220" s="12" t="n">
        <v>0</v>
      </c>
      <c r="I220" s="12" t="n">
        <v>0.014</v>
      </c>
    </row>
    <row r="221" customFormat="false" ht="15" hidden="false" customHeight="false" outlineLevel="0" collapsed="false">
      <c r="A221" s="16" t="s">
        <v>1185</v>
      </c>
      <c r="B221" s="16" t="s">
        <v>1186</v>
      </c>
      <c r="C221" s="16" t="s">
        <v>1187</v>
      </c>
      <c r="D221" s="16" t="s">
        <v>335</v>
      </c>
      <c r="E221" s="23" t="n">
        <v>262</v>
      </c>
      <c r="F221" s="23" t="n">
        <v>64174</v>
      </c>
      <c r="G221" s="16" t="s">
        <v>1188</v>
      </c>
      <c r="H221" s="16" t="n">
        <v>2</v>
      </c>
      <c r="I221" s="16" t="n">
        <v>0.013</v>
      </c>
    </row>
    <row r="222" customFormat="false" ht="15" hidden="false" customHeight="false" outlineLevel="0" collapsed="false">
      <c r="A222" s="12" t="s">
        <v>1189</v>
      </c>
      <c r="B222" s="12" t="s">
        <v>1190</v>
      </c>
      <c r="C222" s="12" t="s">
        <v>1191</v>
      </c>
      <c r="D222" s="12" t="s">
        <v>335</v>
      </c>
      <c r="E222" s="22" t="n">
        <v>261</v>
      </c>
      <c r="F222" s="22" t="n">
        <v>52441</v>
      </c>
      <c r="G222" s="12" t="s">
        <v>1192</v>
      </c>
      <c r="H222" s="12" t="n">
        <v>1</v>
      </c>
      <c r="I222" s="12" t="n">
        <v>0.013</v>
      </c>
    </row>
    <row r="223" customFormat="false" ht="15" hidden="false" customHeight="false" outlineLevel="0" collapsed="false">
      <c r="A223" s="16" t="s">
        <v>1193</v>
      </c>
      <c r="B223" s="16" t="s">
        <v>1194</v>
      </c>
      <c r="C223" s="16" t="s">
        <v>1195</v>
      </c>
      <c r="D223" s="16" t="s">
        <v>353</v>
      </c>
      <c r="E223" s="23" t="n">
        <v>260</v>
      </c>
      <c r="F223" s="23" t="n">
        <v>2166</v>
      </c>
      <c r="G223" s="16" t="s">
        <v>1196</v>
      </c>
      <c r="H223" s="16" t="n">
        <v>0</v>
      </c>
      <c r="I223" s="16" t="n">
        <v>0.013</v>
      </c>
    </row>
    <row r="224" customFormat="false" ht="15" hidden="false" customHeight="false" outlineLevel="0" collapsed="false">
      <c r="A224" s="12" t="s">
        <v>1197</v>
      </c>
      <c r="B224" s="12" t="s">
        <v>1198</v>
      </c>
      <c r="C224" s="12" t="s">
        <v>1199</v>
      </c>
      <c r="D224" s="12" t="s">
        <v>343</v>
      </c>
      <c r="E224" s="22" t="n">
        <v>254</v>
      </c>
      <c r="F224" s="22" t="n">
        <v>631636</v>
      </c>
      <c r="G224" s="12" t="s">
        <v>1197</v>
      </c>
      <c r="H224" s="12" t="n">
        <v>6</v>
      </c>
      <c r="I224" s="12" t="n">
        <v>0.013</v>
      </c>
    </row>
    <row r="225" customFormat="false" ht="15" hidden="false" customHeight="false" outlineLevel="0" collapsed="false">
      <c r="A225" s="16" t="s">
        <v>1200</v>
      </c>
      <c r="B225" s="16" t="s">
        <v>1201</v>
      </c>
      <c r="C225" s="16" t="s">
        <v>1202</v>
      </c>
      <c r="D225" s="16" t="s">
        <v>335</v>
      </c>
      <c r="E225" s="23" t="n">
        <v>242</v>
      </c>
      <c r="F225" s="23" t="n">
        <v>7012</v>
      </c>
      <c r="G225" s="16" t="s">
        <v>1203</v>
      </c>
      <c r="H225" s="16" t="n">
        <v>1</v>
      </c>
      <c r="I225" s="16" t="n">
        <v>0.012</v>
      </c>
    </row>
    <row r="226" customFormat="false" ht="15" hidden="false" customHeight="false" outlineLevel="0" collapsed="false">
      <c r="A226" s="12" t="s">
        <v>1204</v>
      </c>
      <c r="B226" s="12" t="s">
        <v>1205</v>
      </c>
      <c r="C226" s="12" t="s">
        <v>1206</v>
      </c>
      <c r="D226" s="12" t="s">
        <v>353</v>
      </c>
      <c r="E226" s="22" t="n">
        <v>240</v>
      </c>
      <c r="F226" s="22" t="n">
        <v>21388</v>
      </c>
      <c r="G226" s="12" t="s">
        <v>1207</v>
      </c>
      <c r="H226" s="12" t="n">
        <v>1</v>
      </c>
      <c r="I226" s="12" t="n">
        <v>0.012</v>
      </c>
    </row>
    <row r="227" customFormat="false" ht="15" hidden="false" customHeight="false" outlineLevel="0" collapsed="false">
      <c r="A227" s="16" t="s">
        <v>1208</v>
      </c>
      <c r="B227" s="16" t="s">
        <v>343</v>
      </c>
      <c r="C227" s="16" t="s">
        <v>1209</v>
      </c>
      <c r="D227" s="16" t="s">
        <v>353</v>
      </c>
      <c r="E227" s="23" t="n">
        <v>199</v>
      </c>
      <c r="F227" s="23" t="n">
        <v>55465</v>
      </c>
      <c r="G227" s="16" t="s">
        <v>1210</v>
      </c>
      <c r="H227" s="16" t="n">
        <v>1</v>
      </c>
      <c r="I227" s="16" t="n">
        <v>0.01</v>
      </c>
    </row>
    <row r="228" customFormat="false" ht="15" hidden="false" customHeight="false" outlineLevel="0" collapsed="false">
      <c r="A228" s="12" t="s">
        <v>1211</v>
      </c>
      <c r="B228" s="12" t="s">
        <v>1212</v>
      </c>
      <c r="C228" s="12" t="s">
        <v>1213</v>
      </c>
      <c r="D228" s="12" t="s">
        <v>335</v>
      </c>
      <c r="E228" s="22" t="n">
        <v>193</v>
      </c>
      <c r="F228" s="22" t="n">
        <v>105845</v>
      </c>
      <c r="G228" s="12" t="s">
        <v>1214</v>
      </c>
      <c r="H228" s="12" t="n">
        <v>4</v>
      </c>
      <c r="I228" s="12" t="n">
        <v>0.01</v>
      </c>
    </row>
    <row r="229" customFormat="false" ht="15" hidden="false" customHeight="false" outlineLevel="0" collapsed="false">
      <c r="A229" s="16" t="s">
        <v>1215</v>
      </c>
      <c r="B229" s="16" t="s">
        <v>1216</v>
      </c>
      <c r="C229" s="16" t="s">
        <v>1217</v>
      </c>
      <c r="D229" s="16" t="s">
        <v>353</v>
      </c>
      <c r="E229" s="23" t="n">
        <v>181</v>
      </c>
      <c r="F229" s="23" t="n">
        <v>58413</v>
      </c>
      <c r="G229" s="16" t="s">
        <v>1218</v>
      </c>
      <c r="H229" s="16" t="n">
        <v>2</v>
      </c>
      <c r="I229" s="16" t="n">
        <v>0.009</v>
      </c>
    </row>
    <row r="230" customFormat="false" ht="15" hidden="false" customHeight="false" outlineLevel="0" collapsed="false">
      <c r="A230" s="12" t="s">
        <v>1219</v>
      </c>
      <c r="B230" s="12" t="s">
        <v>1220</v>
      </c>
      <c r="C230" s="12" t="s">
        <v>1221</v>
      </c>
      <c r="D230" s="12" t="s">
        <v>326</v>
      </c>
      <c r="E230" s="22" t="n">
        <v>160</v>
      </c>
      <c r="F230" s="22" t="n">
        <v>37910</v>
      </c>
      <c r="G230" s="12" t="s">
        <v>1222</v>
      </c>
      <c r="H230" s="12" t="n">
        <v>1</v>
      </c>
      <c r="I230" s="12" t="n">
        <v>0.008</v>
      </c>
    </row>
    <row r="231" customFormat="false" ht="15" hidden="false" customHeight="false" outlineLevel="0" collapsed="false">
      <c r="A231" s="16" t="s">
        <v>1223</v>
      </c>
      <c r="B231" s="16" t="s">
        <v>1224</v>
      </c>
      <c r="C231" s="16" t="s">
        <v>1225</v>
      </c>
      <c r="D231" s="16" t="s">
        <v>335</v>
      </c>
      <c r="E231" s="23" t="n">
        <v>153</v>
      </c>
      <c r="F231" s="23" t="n">
        <v>29802</v>
      </c>
      <c r="G231" s="16" t="s">
        <v>1226</v>
      </c>
      <c r="H231" s="16" t="n">
        <v>1</v>
      </c>
      <c r="I231" s="16" t="n">
        <v>0.008</v>
      </c>
    </row>
    <row r="232" customFormat="false" ht="15" hidden="false" customHeight="false" outlineLevel="0" collapsed="false">
      <c r="A232" s="12" t="s">
        <v>1227</v>
      </c>
      <c r="B232" s="12" t="s">
        <v>1228</v>
      </c>
      <c r="C232" s="12" t="s">
        <v>1229</v>
      </c>
      <c r="D232" s="12" t="s">
        <v>353</v>
      </c>
      <c r="E232" s="22" t="n">
        <v>135</v>
      </c>
      <c r="F232" s="22" t="n">
        <v>1500</v>
      </c>
      <c r="G232" s="12" t="s">
        <v>1230</v>
      </c>
      <c r="H232" s="12" t="n">
        <v>0</v>
      </c>
      <c r="I232" s="12" t="n">
        <v>0.007</v>
      </c>
    </row>
    <row r="233" customFormat="false" ht="15" hidden="false" customHeight="false" outlineLevel="0" collapsed="false">
      <c r="A233" s="16" t="s">
        <v>1231</v>
      </c>
      <c r="B233" s="16" t="s">
        <v>1232</v>
      </c>
      <c r="C233" s="16" t="s">
        <v>1233</v>
      </c>
      <c r="D233" s="16" t="s">
        <v>326</v>
      </c>
      <c r="E233" s="23" t="n">
        <v>116</v>
      </c>
      <c r="F233" s="23" t="n">
        <v>90812</v>
      </c>
      <c r="G233" s="16" t="s">
        <v>1234</v>
      </c>
      <c r="H233" s="16" t="n">
        <v>1</v>
      </c>
      <c r="I233" s="16" t="n">
        <v>0.006</v>
      </c>
    </row>
    <row r="234" customFormat="false" ht="15" hidden="false" customHeight="false" outlineLevel="0" collapsed="false">
      <c r="A234" s="12" t="s">
        <v>1235</v>
      </c>
      <c r="B234" s="12" t="s">
        <v>1236</v>
      </c>
      <c r="C234" s="12" t="s">
        <v>1237</v>
      </c>
      <c r="D234" s="12" t="s">
        <v>335</v>
      </c>
      <c r="E234" s="22" t="n">
        <v>102</v>
      </c>
      <c r="F234" s="22" t="n">
        <v>13254</v>
      </c>
      <c r="G234" s="12" t="s">
        <v>1238</v>
      </c>
      <c r="H234" s="12" t="n">
        <v>0</v>
      </c>
      <c r="I234" s="12" t="n">
        <v>0.005</v>
      </c>
    </row>
    <row r="235" customFormat="false" ht="15" hidden="false" customHeight="false" outlineLevel="0" collapsed="false">
      <c r="A235" s="16" t="s">
        <v>1239</v>
      </c>
      <c r="B235" s="16" t="s">
        <v>1240</v>
      </c>
      <c r="C235" s="16" t="s">
        <v>1241</v>
      </c>
      <c r="D235" s="16" t="s">
        <v>335</v>
      </c>
      <c r="E235" s="23" t="n">
        <v>102</v>
      </c>
      <c r="F235" s="23" t="n">
        <v>9341</v>
      </c>
      <c r="G235" s="16" t="s">
        <v>1242</v>
      </c>
      <c r="H235" s="16" t="n">
        <v>0</v>
      </c>
      <c r="I235" s="16" t="n">
        <v>0.005</v>
      </c>
    </row>
    <row r="236" customFormat="false" ht="15" hidden="false" customHeight="false" outlineLevel="0" collapsed="false">
      <c r="A236" s="12" t="s">
        <v>1243</v>
      </c>
      <c r="B236" s="12" t="s">
        <v>1244</v>
      </c>
      <c r="C236" s="12" t="s">
        <v>1245</v>
      </c>
      <c r="D236" s="12" t="s">
        <v>326</v>
      </c>
      <c r="E236" s="22" t="n">
        <v>78</v>
      </c>
      <c r="F236" s="22" t="n">
        <v>65228</v>
      </c>
      <c r="G236" s="12" t="s">
        <v>1246</v>
      </c>
      <c r="H236" s="12" t="n">
        <v>1</v>
      </c>
      <c r="I236" s="12" t="n">
        <v>0.004</v>
      </c>
    </row>
    <row r="237" customFormat="false" ht="15" hidden="false" customHeight="false" outlineLevel="0" collapsed="false">
      <c r="A237" s="16" t="s">
        <v>1247</v>
      </c>
      <c r="B237" s="16" t="s">
        <v>1248</v>
      </c>
      <c r="C237" s="16" t="s">
        <v>1249</v>
      </c>
      <c r="D237" s="16" t="s">
        <v>326</v>
      </c>
      <c r="E237" s="23" t="n">
        <v>61</v>
      </c>
      <c r="F237" s="23" t="n">
        <v>33785</v>
      </c>
      <c r="G237" s="16" t="s">
        <v>1247</v>
      </c>
      <c r="H237" s="16" t="n">
        <v>0</v>
      </c>
      <c r="I237" s="16" t="n">
        <v>0.003</v>
      </c>
    </row>
    <row r="238" customFormat="false" ht="15" hidden="false" customHeight="false" outlineLevel="0" collapsed="false">
      <c r="A238" s="12" t="s">
        <v>1250</v>
      </c>
      <c r="B238" s="12" t="s">
        <v>1251</v>
      </c>
      <c r="C238" s="12" t="s">
        <v>1252</v>
      </c>
      <c r="D238" s="12" t="s">
        <v>343</v>
      </c>
      <c r="E238" s="22" t="n">
        <v>60</v>
      </c>
      <c r="F238" s="22" t="n">
        <v>4000</v>
      </c>
      <c r="G238" s="12" t="s">
        <v>1253</v>
      </c>
      <c r="H238" s="12" t="n">
        <v>0</v>
      </c>
      <c r="I238" s="12" t="n">
        <v>0.003</v>
      </c>
    </row>
    <row r="239" customFormat="false" ht="15" hidden="false" customHeight="false" outlineLevel="0" collapsed="false">
      <c r="A239" s="16" t="s">
        <v>1254</v>
      </c>
      <c r="B239" s="16" t="s">
        <v>1255</v>
      </c>
      <c r="C239" s="16" t="s">
        <v>1256</v>
      </c>
      <c r="D239" s="16" t="s">
        <v>335</v>
      </c>
      <c r="E239" s="23" t="n">
        <v>53</v>
      </c>
      <c r="F239" s="23" t="n">
        <v>63968</v>
      </c>
      <c r="G239" s="16" t="s">
        <v>1257</v>
      </c>
      <c r="H239" s="16" t="n">
        <v>0</v>
      </c>
      <c r="I239" s="16" t="n">
        <v>0.003</v>
      </c>
    </row>
    <row r="240" customFormat="false" ht="15" hidden="false" customHeight="false" outlineLevel="0" collapsed="false">
      <c r="A240" s="12" t="s">
        <v>1258</v>
      </c>
      <c r="B240" s="12" t="s">
        <v>1259</v>
      </c>
      <c r="C240" s="12" t="s">
        <v>1260</v>
      </c>
      <c r="D240" s="12" t="s">
        <v>335</v>
      </c>
      <c r="E240" s="22" t="n">
        <v>53</v>
      </c>
      <c r="F240" s="22" t="n">
        <v>37264</v>
      </c>
      <c r="G240" s="12" t="s">
        <v>1261</v>
      </c>
      <c r="H240" s="12" t="n">
        <v>1</v>
      </c>
      <c r="I240" s="12" t="n">
        <v>0.003</v>
      </c>
    </row>
    <row r="241" customFormat="false" ht="15" hidden="false" customHeight="false" outlineLevel="0" collapsed="false">
      <c r="A241" s="16" t="s">
        <v>1262</v>
      </c>
      <c r="B241" s="16" t="s">
        <v>1263</v>
      </c>
      <c r="C241" s="16" t="s">
        <v>1264</v>
      </c>
      <c r="D241" s="16" t="s">
        <v>331</v>
      </c>
      <c r="E241" s="23" t="n">
        <v>49</v>
      </c>
      <c r="F241" s="23" t="n">
        <v>0</v>
      </c>
      <c r="G241" s="16"/>
      <c r="H241" s="16" t="n">
        <v>0</v>
      </c>
      <c r="I241" s="16" t="n">
        <v>0.002</v>
      </c>
    </row>
    <row r="242" customFormat="false" ht="15" hidden="false" customHeight="false" outlineLevel="0" collapsed="false">
      <c r="A242" s="12" t="s">
        <v>1265</v>
      </c>
      <c r="B242" s="12" t="s">
        <v>1266</v>
      </c>
      <c r="C242" s="12" t="s">
        <v>1267</v>
      </c>
      <c r="D242" s="12" t="s">
        <v>353</v>
      </c>
      <c r="E242" s="22" t="n">
        <v>47</v>
      </c>
      <c r="F242" s="22" t="n">
        <v>46</v>
      </c>
      <c r="G242" s="12" t="s">
        <v>1268</v>
      </c>
      <c r="H242" s="12" t="n">
        <v>0</v>
      </c>
      <c r="I242" s="12" t="n">
        <v>0.002</v>
      </c>
    </row>
    <row r="243" customFormat="false" ht="15" hidden="false" customHeight="false" outlineLevel="0" collapsed="false">
      <c r="A243" s="16" t="s">
        <v>1269</v>
      </c>
      <c r="B243" s="16" t="s">
        <v>1270</v>
      </c>
      <c r="C243" s="16" t="s">
        <v>1271</v>
      </c>
      <c r="D243" s="16" t="s">
        <v>353</v>
      </c>
      <c r="E243" s="23" t="n">
        <v>34</v>
      </c>
      <c r="F243" s="23" t="n">
        <v>1828</v>
      </c>
      <c r="G243" s="16" t="s">
        <v>990</v>
      </c>
      <c r="H243" s="16" t="n">
        <v>0</v>
      </c>
      <c r="I243" s="16" t="n">
        <v>0.002</v>
      </c>
    </row>
    <row r="244" customFormat="false" ht="15" hidden="false" customHeight="false" outlineLevel="0" collapsed="false">
      <c r="A244" s="12" t="s">
        <v>1272</v>
      </c>
      <c r="B244" s="12" t="s">
        <v>1273</v>
      </c>
      <c r="C244" s="12" t="s">
        <v>1274</v>
      </c>
      <c r="D244" s="12" t="s">
        <v>353</v>
      </c>
      <c r="E244" s="22" t="n">
        <v>26</v>
      </c>
      <c r="F244" s="22" t="n">
        <v>11508</v>
      </c>
      <c r="G244" s="12" t="s">
        <v>1275</v>
      </c>
      <c r="H244" s="12" t="n">
        <v>1</v>
      </c>
      <c r="I244" s="12" t="n">
        <v>0.001</v>
      </c>
    </row>
    <row r="245" customFormat="false" ht="15" hidden="false" customHeight="false" outlineLevel="0" collapsed="false">
      <c r="A245" s="16" t="s">
        <v>1276</v>
      </c>
      <c r="B245" s="16" t="s">
        <v>1277</v>
      </c>
      <c r="C245" s="16" t="s">
        <v>1278</v>
      </c>
      <c r="D245" s="16" t="s">
        <v>335</v>
      </c>
      <c r="E245" s="23" t="n">
        <v>21</v>
      </c>
      <c r="F245" s="23" t="n">
        <v>8450</v>
      </c>
      <c r="G245" s="16" t="s">
        <v>1279</v>
      </c>
      <c r="H245" s="16" t="n">
        <v>1</v>
      </c>
      <c r="I245" s="16" t="n">
        <v>0.001</v>
      </c>
    </row>
    <row r="246" customFormat="false" ht="15" hidden="false" customHeight="false" outlineLevel="0" collapsed="false">
      <c r="A246" s="12" t="s">
        <v>1280</v>
      </c>
      <c r="B246" s="12" t="s">
        <v>1281</v>
      </c>
      <c r="C246" s="12" t="s">
        <v>1282</v>
      </c>
      <c r="D246" s="12" t="s">
        <v>353</v>
      </c>
      <c r="E246" s="22" t="n">
        <v>21</v>
      </c>
      <c r="F246" s="22" t="n">
        <v>12704</v>
      </c>
      <c r="G246" s="12" t="s">
        <v>1283</v>
      </c>
      <c r="H246" s="12" t="n">
        <v>0</v>
      </c>
      <c r="I246" s="12" t="n">
        <v>0.001</v>
      </c>
    </row>
    <row r="247" customFormat="false" ht="15" hidden="false" customHeight="false" outlineLevel="0" collapsed="false">
      <c r="A247" s="16" t="s">
        <v>1284</v>
      </c>
      <c r="B247" s="16" t="s">
        <v>1285</v>
      </c>
      <c r="C247" s="16" t="s">
        <v>1286</v>
      </c>
      <c r="D247" s="16" t="s">
        <v>335</v>
      </c>
      <c r="E247" s="23" t="n">
        <v>21</v>
      </c>
      <c r="F247" s="23" t="n">
        <v>40654</v>
      </c>
      <c r="G247" s="16" t="s">
        <v>1287</v>
      </c>
      <c r="H247" s="16" t="n">
        <v>0</v>
      </c>
      <c r="I247" s="16" t="n">
        <v>0.001</v>
      </c>
    </row>
    <row r="248" customFormat="false" ht="15" hidden="false" customHeight="false" outlineLevel="0" collapsed="false">
      <c r="A248" s="12" t="s">
        <v>1288</v>
      </c>
      <c r="B248" s="12" t="s">
        <v>1289</v>
      </c>
      <c r="C248" s="12" t="s">
        <v>1290</v>
      </c>
      <c r="D248" s="12" t="s">
        <v>343</v>
      </c>
      <c r="E248" s="22" t="n">
        <v>14</v>
      </c>
      <c r="F248" s="22" t="n">
        <v>628</v>
      </c>
      <c r="G248" s="12" t="s">
        <v>1291</v>
      </c>
      <c r="H248" s="12" t="n">
        <v>0</v>
      </c>
      <c r="I248" s="12" t="n">
        <v>0.001</v>
      </c>
    </row>
    <row r="249" customFormat="false" ht="15" hidden="false" customHeight="false" outlineLevel="0" collapsed="false">
      <c r="A249" s="16" t="s">
        <v>1292</v>
      </c>
      <c r="B249" s="16" t="s">
        <v>1293</v>
      </c>
      <c r="C249" s="16" t="s">
        <v>1294</v>
      </c>
      <c r="D249" s="16" t="s">
        <v>353</v>
      </c>
      <c r="E249" s="23" t="n">
        <v>10</v>
      </c>
      <c r="F249" s="23" t="n">
        <v>1466</v>
      </c>
      <c r="G249" s="16"/>
      <c r="H249" s="16" t="n">
        <v>0</v>
      </c>
      <c r="I249" s="16" t="n">
        <v>0</v>
      </c>
    </row>
    <row r="250" customFormat="false" ht="15" hidden="false" customHeight="false" outlineLevel="0" collapsed="false">
      <c r="A250" s="12" t="s">
        <v>1295</v>
      </c>
      <c r="B250" s="12" t="s">
        <v>1296</v>
      </c>
      <c r="C250" s="12" t="s">
        <v>1297</v>
      </c>
      <c r="D250" s="12" t="s">
        <v>326</v>
      </c>
      <c r="E250" s="22" t="n">
        <v>6</v>
      </c>
      <c r="F250" s="22" t="n">
        <v>33718</v>
      </c>
      <c r="G250" s="12" t="s">
        <v>1295</v>
      </c>
      <c r="H250" s="12" t="n">
        <v>1</v>
      </c>
      <c r="I250" s="12" t="n">
        <v>0</v>
      </c>
    </row>
    <row r="251" customFormat="false" ht="15" hidden="false" customHeight="false" outlineLevel="0" collapsed="false">
      <c r="A251" s="16" t="s">
        <v>1298</v>
      </c>
      <c r="B251" s="16" t="s">
        <v>1299</v>
      </c>
      <c r="C251" s="16" t="s">
        <v>1300</v>
      </c>
      <c r="D251" s="16" t="s">
        <v>326</v>
      </c>
      <c r="E251" s="23" t="n">
        <v>1</v>
      </c>
      <c r="F251" s="23" t="n">
        <v>38682</v>
      </c>
      <c r="G251" s="16" t="s">
        <v>1298</v>
      </c>
      <c r="H251" s="16" t="n">
        <v>2</v>
      </c>
      <c r="I251" s="16" t="n">
        <v>0</v>
      </c>
    </row>
    <row r="252" customFormat="false" ht="15" hidden="false" customHeight="false" outlineLevel="0" collapsed="false">
      <c r="A252" s="12" t="s">
        <v>1301</v>
      </c>
      <c r="B252" s="12" t="s">
        <v>1302</v>
      </c>
      <c r="C252" s="12" t="s">
        <v>1303</v>
      </c>
      <c r="D252" s="12" t="s">
        <v>353</v>
      </c>
      <c r="E252" s="22" t="n">
        <v>0</v>
      </c>
      <c r="F252" s="22" t="n">
        <v>0</v>
      </c>
      <c r="G252" s="12"/>
      <c r="H252" s="12" t="n">
        <v>0</v>
      </c>
      <c r="I252" s="12" t="n">
        <v>0</v>
      </c>
    </row>
    <row r="253" customFormat="false" ht="15" hidden="false" customHeight="false" outlineLevel="0" collapsed="false">
      <c r="A253" s="16" t="s">
        <v>1304</v>
      </c>
      <c r="B253" s="16" t="s">
        <v>1305</v>
      </c>
      <c r="C253" s="16" t="s">
        <v>1306</v>
      </c>
      <c r="D253" s="16" t="s">
        <v>326</v>
      </c>
      <c r="E253" s="23" t="n">
        <v>0</v>
      </c>
      <c r="F253" s="23" t="n">
        <v>921</v>
      </c>
      <c r="G253" s="16" t="s">
        <v>1307</v>
      </c>
      <c r="H253" s="16" t="n">
        <v>0</v>
      </c>
      <c r="I253" s="16" t="n">
        <v>0</v>
      </c>
    </row>
    <row r="255" customFormat="false" ht="15" hidden="false" customHeight="false" outlineLevel="0" collapsed="false">
      <c r="A255" s="20" t="s">
        <v>1308</v>
      </c>
    </row>
  </sheetData>
  <autoFilter ref="A1:I25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tru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74"/>
  </cols>
  <sheetData>
    <row r="1" customFormat="false" ht="27.75" hidden="false" customHeight="true" outlineLevel="0" collapsed="false">
      <c r="A1" s="11" t="s">
        <v>1309</v>
      </c>
      <c r="B1" s="11" t="s">
        <v>1310</v>
      </c>
      <c r="C1" s="11" t="s">
        <v>1311</v>
      </c>
    </row>
    <row r="2" customFormat="false" ht="23.85" hidden="false" customHeight="false" outlineLevel="0" collapsed="false">
      <c r="A2" s="24" t="s">
        <v>1312</v>
      </c>
      <c r="B2" s="16" t="n">
        <v>0.95</v>
      </c>
      <c r="C2" s="25" t="s">
        <v>1313</v>
      </c>
    </row>
    <row r="3" customFormat="false" ht="23.85" hidden="false" customHeight="false" outlineLevel="0" collapsed="false">
      <c r="A3" s="24" t="s">
        <v>1314</v>
      </c>
      <c r="B3" s="16" t="n">
        <v>2</v>
      </c>
      <c r="C3" s="25" t="s">
        <v>1315</v>
      </c>
    </row>
    <row r="4" customFormat="false" ht="23.85" hidden="false" customHeight="false" outlineLevel="0" collapsed="false">
      <c r="A4" s="24" t="s">
        <v>1316</v>
      </c>
      <c r="B4" s="16" t="n">
        <v>0</v>
      </c>
      <c r="C4" s="25" t="s">
        <v>1317</v>
      </c>
    </row>
    <row r="5" customFormat="false" ht="23.85" hidden="false" customHeight="false" outlineLevel="0" collapsed="false">
      <c r="A5" s="24" t="s">
        <v>1318</v>
      </c>
      <c r="B5" s="16" t="n">
        <v>0.25</v>
      </c>
      <c r="C5" s="25" t="s">
        <v>1319</v>
      </c>
    </row>
    <row r="6" customFormat="false" ht="15" hidden="false" customHeight="false" outlineLevel="0" collapsed="false">
      <c r="A6" s="24" t="s">
        <v>1320</v>
      </c>
      <c r="B6" s="16" t="n">
        <v>0.3</v>
      </c>
      <c r="C6" s="25" t="s">
        <v>1321</v>
      </c>
    </row>
    <row r="7" customFormat="false" ht="15" hidden="false" customHeight="false" outlineLevel="0" collapsed="false">
      <c r="A7" s="24" t="s">
        <v>1322</v>
      </c>
      <c r="B7" s="16" t="n">
        <v>0.35</v>
      </c>
      <c r="C7" s="25" t="s">
        <v>1323</v>
      </c>
    </row>
    <row r="8" customFormat="false" ht="15" hidden="false" customHeight="false" outlineLevel="0" collapsed="false">
      <c r="A8" s="24" t="s">
        <v>1324</v>
      </c>
      <c r="B8" s="16" t="n">
        <v>0.35</v>
      </c>
      <c r="C8" s="25" t="s">
        <v>1325</v>
      </c>
    </row>
    <row r="9" customFormat="false" ht="15" hidden="false" customHeight="false" outlineLevel="0" collapsed="false">
      <c r="A9" s="24" t="s">
        <v>1326</v>
      </c>
      <c r="B9" s="16" t="n">
        <v>1</v>
      </c>
      <c r="C9" s="25" t="s">
        <v>1327</v>
      </c>
    </row>
    <row r="10" customFormat="false" ht="23.85" hidden="false" customHeight="false" outlineLevel="0" collapsed="false">
      <c r="A10" s="24" t="s">
        <v>1328</v>
      </c>
      <c r="B10" s="16" t="n">
        <v>0.4</v>
      </c>
      <c r="C10" s="25" t="s">
        <v>1329</v>
      </c>
    </row>
    <row r="11" customFormat="false" ht="23.85" hidden="false" customHeight="false" outlineLevel="0" collapsed="false">
      <c r="A11" s="24" t="s">
        <v>1330</v>
      </c>
      <c r="B11" s="16" t="n">
        <v>0.5</v>
      </c>
      <c r="C11" s="25" t="s">
        <v>1331</v>
      </c>
    </row>
    <row r="12" customFormat="false" ht="15" hidden="false" customHeight="false" outlineLevel="0" collapsed="false">
      <c r="A12" s="24" t="s">
        <v>1332</v>
      </c>
      <c r="B12" s="16" t="n">
        <v>60</v>
      </c>
      <c r="C12" s="25" t="s">
        <v>1333</v>
      </c>
    </row>
    <row r="13" customFormat="false" ht="23.85" hidden="false" customHeight="false" outlineLevel="0" collapsed="false">
      <c r="A13" s="24" t="s">
        <v>1334</v>
      </c>
      <c r="B13" s="16" t="n">
        <v>0.5</v>
      </c>
      <c r="C13" s="25" t="s">
        <v>1335</v>
      </c>
    </row>
    <row r="14" customFormat="false" ht="15" hidden="false" customHeight="false" outlineLevel="0" collapsed="false">
      <c r="A14" s="24" t="s">
        <v>1336</v>
      </c>
      <c r="B14" s="16" t="n">
        <v>60</v>
      </c>
      <c r="C14" s="25" t="s">
        <v>1337</v>
      </c>
    </row>
    <row r="15" customFormat="false" ht="15" hidden="false" customHeight="false" outlineLevel="0" collapsed="false">
      <c r="A15" s="24" t="s">
        <v>1338</v>
      </c>
      <c r="B15" s="16" t="n">
        <v>0.35</v>
      </c>
      <c r="C15" s="25" t="s">
        <v>1339</v>
      </c>
    </row>
    <row r="16" customFormat="false" ht="15" hidden="false" customHeight="false" outlineLevel="0" collapsed="false">
      <c r="A16" s="24" t="s">
        <v>1340</v>
      </c>
      <c r="B16" s="16" t="n">
        <v>3000</v>
      </c>
      <c r="C16" s="25" t="s">
        <v>1341</v>
      </c>
    </row>
    <row r="17" customFormat="false" ht="15" hidden="false" customHeight="false" outlineLevel="0" collapsed="false">
      <c r="A17" s="24" t="s">
        <v>1342</v>
      </c>
      <c r="B17" s="16" t="n">
        <v>2.5</v>
      </c>
      <c r="C17" s="25" t="s">
        <v>1343</v>
      </c>
    </row>
    <row r="18" customFormat="false" ht="15" hidden="false" customHeight="false" outlineLevel="0" collapsed="false">
      <c r="A18" s="24" t="s">
        <v>1344</v>
      </c>
      <c r="B18" s="16" t="n">
        <v>0.6</v>
      </c>
      <c r="C18" s="25" t="s">
        <v>1345</v>
      </c>
    </row>
    <row r="19" customFormat="false" ht="15" hidden="false" customHeight="false" outlineLevel="0" collapsed="false">
      <c r="A19" s="24" t="s">
        <v>1346</v>
      </c>
      <c r="B19" s="16" t="n">
        <v>1.2</v>
      </c>
      <c r="C19" s="25" t="s">
        <v>1347</v>
      </c>
    </row>
    <row r="20" customFormat="false" ht="15" hidden="false" customHeight="false" outlineLevel="0" collapsed="false">
      <c r="A20" s="24" t="s">
        <v>1348</v>
      </c>
      <c r="B20" s="16" t="n">
        <v>50000</v>
      </c>
      <c r="C20" s="25" t="s">
        <v>1349</v>
      </c>
    </row>
    <row r="21" customFormat="false" ht="15" hidden="false" customHeight="false" outlineLevel="0" collapsed="false">
      <c r="A21" s="24" t="s">
        <v>1350</v>
      </c>
      <c r="B21" s="16" t="n">
        <v>1</v>
      </c>
      <c r="C21" s="25" t="s">
        <v>1351</v>
      </c>
    </row>
    <row r="22" customFormat="false" ht="15" hidden="false" customHeight="false" outlineLevel="0" collapsed="false">
      <c r="A22" s="24" t="s">
        <v>1352</v>
      </c>
      <c r="B22" s="16" t="n">
        <v>40</v>
      </c>
      <c r="C22" s="25" t="s">
        <v>1353</v>
      </c>
    </row>
    <row r="23" customFormat="false" ht="15" hidden="false" customHeight="false" outlineLevel="0" collapsed="false">
      <c r="A23" s="24" t="s">
        <v>1354</v>
      </c>
      <c r="B23" s="16" t="n">
        <v>6</v>
      </c>
      <c r="C23" s="25" t="s">
        <v>1355</v>
      </c>
    </row>
    <row r="24" customFormat="false" ht="15" hidden="false" customHeight="false" outlineLevel="0" collapsed="false">
      <c r="A24" s="24" t="s">
        <v>1356</v>
      </c>
      <c r="B24" s="16" t="n">
        <v>6</v>
      </c>
      <c r="C24" s="25" t="s">
        <v>1357</v>
      </c>
    </row>
    <row r="25" customFormat="false" ht="15" hidden="false" customHeight="false" outlineLevel="0" collapsed="false">
      <c r="A25" s="24" t="s">
        <v>1358</v>
      </c>
      <c r="B25" s="16" t="n">
        <v>0.1</v>
      </c>
      <c r="C25" s="25" t="s">
        <v>1359</v>
      </c>
    </row>
    <row r="26" customFormat="false" ht="15" hidden="false" customHeight="false" outlineLevel="0" collapsed="false">
      <c r="A26" s="24" t="s">
        <v>1360</v>
      </c>
      <c r="B26" s="16" t="n">
        <v>3</v>
      </c>
      <c r="C26" s="25" t="s">
        <v>1361</v>
      </c>
    </row>
    <row r="27" customFormat="false" ht="15" hidden="false" customHeight="false" outlineLevel="0" collapsed="false">
      <c r="A27" s="24" t="s">
        <v>1362</v>
      </c>
      <c r="B27" s="16"/>
      <c r="C27" s="25"/>
    </row>
    <row r="28" customFormat="false" ht="15" hidden="false" customHeight="false" outlineLevel="0" collapsed="false">
      <c r="A28" s="24" t="s">
        <v>1363</v>
      </c>
      <c r="B28" s="16" t="s">
        <v>1364</v>
      </c>
      <c r="C28" s="25" t="s">
        <v>1365</v>
      </c>
    </row>
    <row r="29" customFormat="false" ht="15" hidden="false" customHeight="false" outlineLevel="0" collapsed="false">
      <c r="A29" s="24" t="s">
        <v>1366</v>
      </c>
      <c r="B29" s="16" t="s">
        <v>1367</v>
      </c>
      <c r="C29" s="25" t="s">
        <v>1368</v>
      </c>
    </row>
    <row r="30" customFormat="false" ht="15" hidden="false" customHeight="false" outlineLevel="0" collapsed="false">
      <c r="A30" s="24" t="s">
        <v>1369</v>
      </c>
      <c r="B30" s="16" t="s">
        <v>1370</v>
      </c>
      <c r="C30" s="25" t="s">
        <v>1371</v>
      </c>
    </row>
    <row r="31" customFormat="false" ht="15" hidden="false" customHeight="false" outlineLevel="0" collapsed="false">
      <c r="A31" s="24" t="s">
        <v>1372</v>
      </c>
      <c r="B31" s="16" t="s">
        <v>1373</v>
      </c>
      <c r="C31" s="25" t="s">
        <v>1374</v>
      </c>
    </row>
    <row r="33" customFormat="false" ht="15" hidden="false" customHeight="false" outlineLevel="0" collapsed="false">
      <c r="A33" s="20" t="s">
        <v>1375</v>
      </c>
    </row>
  </sheetData>
  <autoFilter ref="A1:C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tru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1" t="s">
        <v>1376</v>
      </c>
      <c r="B1" s="11" t="s">
        <v>1377</v>
      </c>
      <c r="C1" s="11" t="s">
        <v>1378</v>
      </c>
      <c r="D1" s="11" t="s">
        <v>1379</v>
      </c>
      <c r="E1" s="11" t="s">
        <v>1380</v>
      </c>
    </row>
    <row r="2" customFormat="false" ht="15" hidden="false" customHeight="false" outlineLevel="0" collapsed="false">
      <c r="A2" s="12" t="n">
        <v>1</v>
      </c>
      <c r="B2" s="12" t="s">
        <v>1381</v>
      </c>
      <c r="C2" s="12" t="s">
        <v>1382</v>
      </c>
      <c r="D2" s="12" t="s">
        <v>1383</v>
      </c>
      <c r="E2" s="12" t="s">
        <v>1384</v>
      </c>
    </row>
    <row r="3" customFormat="false" ht="15" hidden="false" customHeight="false" outlineLevel="0" collapsed="false">
      <c r="A3" s="16" t="n">
        <v>2</v>
      </c>
      <c r="B3" s="16" t="s">
        <v>1385</v>
      </c>
      <c r="C3" s="16" t="s">
        <v>1386</v>
      </c>
      <c r="D3" s="16" t="s">
        <v>1387</v>
      </c>
      <c r="E3" s="16" t="s">
        <v>1388</v>
      </c>
    </row>
    <row r="4" customFormat="false" ht="15" hidden="false" customHeight="false" outlineLevel="0" collapsed="false">
      <c r="A4" s="12" t="n">
        <v>3</v>
      </c>
      <c r="B4" s="12" t="s">
        <v>1389</v>
      </c>
      <c r="C4" s="12" t="s">
        <v>1390</v>
      </c>
      <c r="D4" s="12" t="s">
        <v>1391</v>
      </c>
      <c r="E4" s="12" t="s">
        <v>1392</v>
      </c>
    </row>
    <row r="5" customFormat="false" ht="15" hidden="false" customHeight="false" outlineLevel="0" collapsed="false">
      <c r="A5" s="26" t="n">
        <v>4</v>
      </c>
      <c r="B5" s="26" t="s">
        <v>1393</v>
      </c>
      <c r="C5" s="26" t="s">
        <v>1394</v>
      </c>
      <c r="D5" s="26" t="s">
        <v>1395</v>
      </c>
      <c r="E5" s="26" t="s">
        <v>1396</v>
      </c>
    </row>
    <row r="6" customFormat="false" ht="15" hidden="false" customHeight="false" outlineLevel="0" collapsed="false">
      <c r="A6" s="26" t="n">
        <v>5</v>
      </c>
      <c r="B6" s="26" t="s">
        <v>1397</v>
      </c>
      <c r="C6" s="26" t="s">
        <v>1398</v>
      </c>
      <c r="D6" s="26" t="s">
        <v>1395</v>
      </c>
      <c r="E6" s="26" t="s">
        <v>1399</v>
      </c>
    </row>
    <row r="7" customFormat="false" ht="15" hidden="false" customHeight="false" outlineLevel="0" collapsed="false">
      <c r="A7" s="26" t="n">
        <v>6</v>
      </c>
      <c r="B7" s="26" t="s">
        <v>1400</v>
      </c>
      <c r="C7" s="26" t="s">
        <v>1401</v>
      </c>
      <c r="D7" s="26" t="s">
        <v>1402</v>
      </c>
      <c r="E7" s="26" t="s">
        <v>1384</v>
      </c>
    </row>
    <row r="8" customFormat="false" ht="15" hidden="false" customHeight="false" outlineLevel="0" collapsed="false">
      <c r="A8" s="12" t="n">
        <v>7</v>
      </c>
      <c r="B8" s="12" t="s">
        <v>1403</v>
      </c>
      <c r="C8" s="12" t="s">
        <v>1404</v>
      </c>
      <c r="D8" s="12" t="s">
        <v>1405</v>
      </c>
      <c r="E8" s="12" t="s">
        <v>1406</v>
      </c>
    </row>
    <row r="10" customFormat="false" ht="15" hidden="false" customHeight="false" outlineLevel="0" collapsed="false">
      <c r="B10" s="3" t="s">
        <v>1407</v>
      </c>
    </row>
    <row r="11" customFormat="false" ht="15" hidden="false" customHeight="false" outlineLevel="0" collapsed="false">
      <c r="B11" s="27" t="s">
        <v>1408</v>
      </c>
      <c r="C11" s="28" t="s">
        <v>1409</v>
      </c>
    </row>
    <row r="12" customFormat="false" ht="15" hidden="false" customHeight="false" outlineLevel="0" collapsed="false">
      <c r="B12" s="27" t="s">
        <v>1410</v>
      </c>
      <c r="C12" s="28" t="s">
        <v>1411</v>
      </c>
    </row>
    <row r="13" customFormat="false" ht="15" hidden="false" customHeight="false" outlineLevel="0" collapsed="false">
      <c r="B13" s="27" t="s">
        <v>1412</v>
      </c>
      <c r="C13" s="28" t="s">
        <v>1413</v>
      </c>
    </row>
    <row r="14" customFormat="false" ht="15" hidden="false" customHeight="false" outlineLevel="0" collapsed="false">
      <c r="B14" s="27" t="s">
        <v>1414</v>
      </c>
      <c r="C14" s="28" t="s">
        <v>1415</v>
      </c>
    </row>
    <row r="15" customFormat="false" ht="15" hidden="false" customHeight="false" outlineLevel="0" collapsed="false">
      <c r="B15" s="27" t="s">
        <v>1416</v>
      </c>
      <c r="C15" s="28" t="s">
        <v>1417</v>
      </c>
    </row>
    <row r="16" customFormat="false" ht="15" hidden="false" customHeight="false" outlineLevel="0" collapsed="false">
      <c r="B16" s="27" t="s">
        <v>1418</v>
      </c>
      <c r="C16" s="28" t="s">
        <v>1419</v>
      </c>
    </row>
    <row r="18" customFormat="false" ht="39.75" hidden="false" customHeight="true" outlineLevel="0" collapsed="false">
      <c r="B18" s="21" t="s">
        <v>1420</v>
      </c>
      <c r="C18" s="21"/>
      <c r="D18" s="21"/>
      <c r="E18" s="21"/>
    </row>
  </sheetData>
  <autoFilter ref="A1:E8"/>
  <mergeCells count="1"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2026-08-21T01:26:44Z</dcterms:created>
  <dc:creator>openpyxl</dc:creator>
  <dc:description/>
  <dc:language>en-US</dc:language>
  <cp:lastModifiedBy/>
  <dcterms:modified xsi:type="dcterms:W3CDTF">2026-08-21T01:26:44Z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